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f2ec8974834bb9" /></Relationships>
</file>

<file path=xl/workbook.xml><?xml version="1.0" encoding="utf-8"?>
<x:workbook xmlns:x="http://schemas.openxmlformats.org/spreadsheetml/2006/main">
  <x:sheets>
    <x:sheet xmlns:r="http://schemas.openxmlformats.org/officeDocument/2006/relationships" name="Coverage Summary" sheetId="1" r:id="Rfccc9f011da84fd8"/>
    <x:sheet xmlns:r="http://schemas.openxmlformats.org/officeDocument/2006/relationships" name="Feature Matrix" sheetId="2" r:id="R443dd6c18c9b43e2"/>
    <x:sheet xmlns:r="http://schemas.openxmlformats.org/officeDocument/2006/relationships" name="Test Cases" sheetId="3" r:id="R3644c3cb008f40c5"/>
    <x:sheet xmlns:r="http://schemas.openxmlformats.org/officeDocument/2006/relationships" name="Defects" sheetId="4" r:id="R8b9db130b61045d1"/>
    <x:sheet xmlns:r="http://schemas.openxmlformats.org/officeDocument/2006/relationships" name="Execution Log" sheetId="5" r:id="Rf91008a8a26e461b"/>
    <x:sheet xmlns:r="http://schemas.openxmlformats.org/officeDocument/2006/relationships" name="Assumptions" sheetId="6" r:id="R1d1773feb61d45f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111827"/>
      <x:name val="Carlito"/>
    </x:font>
    <x:font>
      <x:sz val="11"/>
      <x:color rgb="FF111827"/>
      <x:name val="Carlito"/>
    </x:font>
  </x:fonts>
  <x:fills count="2">
    <x:fill>
      <x:patternFill patternType="none"/>
    </x:fill>
    <x:fill>
      <x:patternFill patternType="gray125"/>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borderId="1" xfId="0" applyNumberFormat="1" applyFont="1" applyFill="0" applyBorder="1" applyAlignment="1">
      <x:alignment vertical="top" wrapText="1"/>
    </x:xf>
    <x:xf numFmtId="0" fontId="1" borderId="1" xfId="0" applyNumberFormat="1" applyFont="1" applyFill="0" applyBorder="1" applyAlignment="1">
      <x:alignment vertical="top" wrapText="1"/>
    </x:xf>
    <x:xf numFmtId="0" fontId="0" borderId="0" xfId="0" applyNumberFormat="1" applyFont="1" applyFill="0" applyBorder="1"/>
    <x:xf numFmtId="0" fontId="2" borderId="0" xfId="0" applyNumberFormat="1" applyFont="1" applyFill="0" applyBorder="1"/>
    <x:xf numFmtId="0" fontId="3" borderId="0" xfId="0" applyNumberFormat="1" applyFont="1" applyFill="0" applyBorder="1"/>
    <x:xf numFmtId="0" fontId="0" fillId="0" borderId="1" xfId="0" applyNumberFormat="1" applyFont="1" applyFill="1" applyBorder="1"/>
    <x:xf numFmtId="0" fontId="0" borderId="1" xfId="0" applyNumberFormat="1" applyFont="1" applyFill="0" applyBorder="1"/>
    <x:xf numFmtId="0" fontId="1" borderId="1" xfId="0" applyNumberFormat="1" applyFont="1" applyFill="0" applyBorder="1"/>
    <x:xf numFmtId="0" fontId="2" borderId="0" xfId="0" applyNumberFormat="1" applyFont="1" applyFill="0" applyBorder="1" applyAlignment="1">
      <x:alignment wrapText="1"/>
    </x:xf>
    <x:xf numFmtId="0" fontId="3" borderId="0" xfId="0" applyNumberFormat="1" applyFont="1" applyFill="0" applyBorder="1" applyAlignment="1">
      <x:alignment wrapText="1"/>
    </x:xf>
    <x:xf numFmtId="0" fontId="1" borderId="1" xfId="0" applyNumberFormat="1" applyFont="1" applyFill="0"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a01a2e38ac45e2" /><Relationship Type="http://schemas.openxmlformats.org/officeDocument/2006/relationships/theme" Target="/xl/theme/theme1.xml" Id="R45308fcb83d7407c" /><Relationship Type="http://schemas.openxmlformats.org/officeDocument/2006/relationships/sharedStrings" Target="/xl/sharedStrings.xml" Id="Rf95c9053f9ae4f38" /><Relationship Type="http://schemas.openxmlformats.org/officeDocument/2006/relationships/worksheet" Target="/xl/worksheets/sheet1.xml" Id="Rfccc9f011da84fd8" /><Relationship Type="http://schemas.openxmlformats.org/officeDocument/2006/relationships/worksheet" Target="/xl/worksheets/sheet2.xml" Id="R443dd6c18c9b43e2" /><Relationship Type="http://schemas.openxmlformats.org/officeDocument/2006/relationships/worksheet" Target="/xl/worksheets/sheet3.xml" Id="R3644c3cb008f40c5" /><Relationship Type="http://schemas.openxmlformats.org/officeDocument/2006/relationships/worksheet" Target="/xl/worksheets/sheet4.xml" Id="R8b9db130b61045d1" /><Relationship Type="http://schemas.openxmlformats.org/officeDocument/2006/relationships/worksheet" Target="/xl/worksheets/sheet5.xml" Id="Rf91008a8a26e461b" /><Relationship Type="http://schemas.openxmlformats.org/officeDocument/2006/relationships/worksheet" Target="/xl/worksheets/sheet6.xml" Id="R1d1773feb61d45f2" /></Relationships>
</file>

<file path=xl/tables/table1.xml><?xml version="1.0" encoding="utf-8"?>
<x:table xmlns:x="http://schemas.openxmlformats.org/spreadsheetml/2006/main" id="1" name="FeatureMatrix" displayName="FeatureMatrix" ref="A1:O46" headerRowCount="1">
  <x:autoFilter ref="A1:O46"/>
  <x:tableColumns count="15">
    <x:tableColumn id="1" name="Feature ID"/>
    <x:tableColumn id="2" name="Feature Name"/>
    <x:tableColumn id="3" name="User Story"/>
    <x:tableColumn id="4" name="Expected Behaviour"/>
    <x:tableColumn id="5" name="Edge Cases"/>
    <x:tableColumn id="6" name="Test Cases"/>
    <x:tableColumn id="7" name="Current Status"/>
    <x:tableColumn id="8" name="Defect Count"/>
    <x:tableColumn id="9" name="Severity"/>
    <x:tableColumn id="10" name="Notes"/>
    <x:tableColumn id="11" name="Last Tested Date"/>
    <x:tableColumn id="12" name="Validation Rules"/>
    <x:tableColumn id="13" name="Dependencies"/>
    <x:tableColumn id="14" name="Known Assumptions"/>
    <x:tableColumn id="15" name="Source Evidence"/>
  </x:tableColumns>
  <x:tableStyleInfo name="TableStyleMedium2" showRowStripes="1"/>
</x:table>
</file>

<file path=xl/tables/table2.xml><?xml version="1.0" encoding="utf-8"?>
<x:table xmlns:x="http://schemas.openxmlformats.org/spreadsheetml/2006/main" id="2" name="TestCases" displayName="TestCases" ref="A1:L46" headerRowCount="1">
  <x:autoFilter ref="A1:L46"/>
  <x:tableColumns count="12">
    <x:tableColumn id="1" name="Test ID"/>
    <x:tableColumn id="2" name="Feature ID"/>
    <x:tableColumn id="3" name="Feature Name"/>
    <x:tableColumn id="4" name="Scenario Type"/>
    <x:tableColumn id="5" name="Test Case"/>
    <x:tableColumn id="6" name="Steps"/>
    <x:tableColumn id="7" name="Expected Result"/>
    <x:tableColumn id="8" name="Execution Method"/>
    <x:tableColumn id="9" name="Status"/>
    <x:tableColumn id="10" name="Actual Result"/>
    <x:tableColumn id="11" name="Defect ID"/>
    <x:tableColumn id="12" name="Last Tested Date"/>
  </x:tableColumns>
  <x:tableStyleInfo name="TableStyleMedium2" showRowStripes="1"/>
</x:table>
</file>

<file path=xl/tables/table3.xml><?xml version="1.0" encoding="utf-8"?>
<x:table xmlns:x="http://schemas.openxmlformats.org/spreadsheetml/2006/main" id="3" name="Defects" displayName="Defects" ref="A1:M10" headerRowCount="1">
  <x:autoFilter ref="A1:M10"/>
  <x:tableColumns count="13">
    <x:tableColumn id="1" name="Defect ID"/>
    <x:tableColumn id="2" name="Feature ID"/>
    <x:tableColumn id="3" name="Title"/>
    <x:tableColumn id="4" name="Severity"/>
    <x:tableColumn id="5" name="Status"/>
    <x:tableColumn id="6" name="Reproduction Steps"/>
    <x:tableColumn id="7" name="Expected Result"/>
    <x:tableColumn id="8" name="Actual Result"/>
    <x:tableColumn id="9" name="Root Cause Hypothesis"/>
    <x:tableColumn id="10" name="Fix Summary"/>
    <x:tableColumn id="11" name="Verification"/>
    <x:tableColumn id="12" name="Opened Date"/>
    <x:tableColumn id="13" name="Resolved Date"/>
  </x:tableColumns>
  <x:tableStyleInfo name="TableStyleMedium2" showRowStripes="1"/>
</x:table>
</file>

<file path=xl/tables/table4.xml><?xml version="1.0" encoding="utf-8"?>
<x:table xmlns:x="http://schemas.openxmlformats.org/spreadsheetml/2006/main" id="4" name="ExecutionLog" displayName="ExecutionLog" ref="A1:G63" headerRowCount="1">
  <x:autoFilter ref="A1:G63"/>
  <x:tableColumns count="7">
    <x:tableColumn id="1" name="Log ID"/>
    <x:tableColumn id="2" name="Date"/>
    <x:tableColumn id="3" name="Category"/>
    <x:tableColumn id="4" name="Activity"/>
    <x:tableColumn id="5" name="Steps"/>
    <x:tableColumn id="6" name="Status"/>
    <x:tableColumn id="7" name="Evidence"/>
  </x:tableColumns>
  <x:tableStyleInfo name="TableStyleMedium2" showRowStripes="1"/>
</x:table>
</file>

<file path=xl/tables/table5.xml><?xml version="1.0" encoding="utf-8"?>
<x:table xmlns:x="http://schemas.openxmlformats.org/spreadsheetml/2006/main" id="5" name="Assumptions" displayName="Assumptions" ref="A1:C7" headerRowCount="1">
  <x:autoFilter ref="A1:C7"/>
  <x:tableColumns count="3">
    <x:tableColumn id="1" name="Assumption ID"/>
    <x:tableColumn id="2" name="Category"/>
    <x:tableColumn id="3" name="Assumption / Risk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4f77d28defa4487" /></Relationships>
</file>

<file path=xl/worksheets/_rels/sheet3.xml.rels>&#65279;<?xml version="1.0" encoding="utf-8"?><Relationships xmlns="http://schemas.openxmlformats.org/package/2006/relationships"><Relationship Type="http://schemas.openxmlformats.org/officeDocument/2006/relationships/table" Target="/xl/tables/table2.xml" Id="R471ab4349cfb42b6" /></Relationships>
</file>

<file path=xl/worksheets/_rels/sheet4.xml.rels>&#65279;<?xml version="1.0" encoding="utf-8"?><Relationships xmlns="http://schemas.openxmlformats.org/package/2006/relationships"><Relationship Type="http://schemas.openxmlformats.org/officeDocument/2006/relationships/table" Target="/xl/tables/table3.xml" Id="R0608be677f174b3e" /></Relationships>
</file>

<file path=xl/worksheets/_rels/sheet5.xml.rels>&#65279;<?xml version="1.0" encoding="utf-8"?><Relationships xmlns="http://schemas.openxmlformats.org/package/2006/relationships"><Relationship Type="http://schemas.openxmlformats.org/officeDocument/2006/relationships/table" Target="/xl/tables/table4.xml" Id="R7d3019247ebc41f9" /></Relationships>
</file>

<file path=xl/worksheets/_rels/sheet6.xml.rels>&#65279;<?xml version="1.0" encoding="utf-8"?><Relationships xmlns="http://schemas.openxmlformats.org/package/2006/relationships"><Relationship Type="http://schemas.openxmlformats.org/officeDocument/2006/relationships/table" Target="/xl/tables/table5.xml" Id="Rcc40d9dd0ac7484a" /></Relationships>
</file>

<file path=xl/worksheets/sheet1.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71.11000061035156" hidden="0" customWidth="1"/>
  </x:cols>
  <x:sheetData>
    <x:row r="1" ht="25.5" customHeight="1">
      <x:c r="A1" s="12" t="str">
        <x:v>Terraform Industries Quality and Validation Register</x:v>
      </x:c>
      <x:c r="B1" s="12"/>
    </x:row>
    <x:row r="2" ht="33" customHeight="1">
      <x:c r="A2" s="13" t="str">
        <x:v>Iteration 11 run date: 2026-06-23. Status: not declared complete; recursive loop continues until all exit criteria remain satisfied across future changes.</x:v>
      </x:c>
      <x:c r="B2" s="13"/>
    </x:row>
    <x:row r="3">
      <x:c r="A3" s="1"/>
      <x:c r="B3" s="1"/>
    </x:row>
    <x:row r="4">
      <x:c r="A4" s="14" t="str">
        <x:v>Metric</x:v>
      </x:c>
      <x:c r="B4" s="14" t="str">
        <x:v>Value</x:v>
      </x:c>
    </x:row>
    <x:row r="5">
      <x:c r="A5" s="15" t="str">
        <x:v>Features documented</x:v>
      </x:c>
      <x:c r="B5" s="15" t="n">
        <x:f>COUNTA('Feature Matrix'!$A$2:$A$46)</x:f>
        <x:v>45</x:v>
      </x:c>
    </x:row>
    <x:row r="6">
      <x:c r="A6" s="15" t="str">
        <x:v>Test suites generated</x:v>
      </x:c>
      <x:c r="B6" s="15" t="n">
        <x:f>COUNTA('Test Cases'!$A$2:$A$46)</x:f>
        <x:v>45</x:v>
      </x:c>
    </x:row>
    <x:row r="7">
      <x:c r="A7" s="15" t="str">
        <x:v>Test suites executed</x:v>
      </x:c>
      <x:c r="B7" s="15" t="n">
        <x:f>COUNTA('Test Cases'!$I$2:$I$46)</x:f>
        <x:v>45</x:v>
      </x:c>
    </x:row>
    <x:row r="8">
      <x:c r="A8" s="15" t="str">
        <x:v>Open critical defects</x:v>
      </x:c>
      <x:c r="B8" s="15" t="n">
        <x:f>COUNTIFS(Defects!$D$2:$D$10,"Critical",Defects!$E$2:$E$10,"&lt;&gt;Resolved")</x:f>
        <x:v>0</x:v>
      </x:c>
    </x:row>
    <x:row r="9">
      <x:c r="A9" s="15" t="str">
        <x:v>Open high defects</x:v>
      </x:c>
      <x:c r="B9" s="15" t="n">
        <x:f>COUNTIFS(Defects!$D$2:$D$10,"High",Defects!$E$2:$E$10,"&lt;&gt;Resolved")</x:f>
        <x:v>0</x:v>
      </x:c>
    </x:row>
    <x:row r="10">
      <x:c r="A10" s="15" t="str">
        <x:v>Resolved defects</x:v>
      </x:c>
      <x:c r="B10" s="15" t="n">
        <x:f>COUNTIF(Defects!$E$2:$E$10,"Resolved")</x:f>
        <x:v>9</x:v>
      </x:c>
    </x:row>
    <x:row r="11">
      <x:c r="A11" s="15" t="str">
        <x:v>Automated tests</x:v>
      </x:c>
      <x:c r="B11" s="15" t="str">
        <x:v>111 passed / 0 failed</x:v>
      </x:c>
    </x:row>
    <x:row r="12">
      <x:c r="A12" s="15" t="str">
        <x:v>Build status</x:v>
      </x:c>
      <x:c r="B12" s="15" t="str">
        <x:v>Passed after remediation</x:v>
      </x:c>
    </x:row>
    <x:row r="13">
      <x:c r="A13" s="15" t="str">
        <x:v>Browser E2E status</x:v>
      </x:c>
      <x:c r="B13" s="15" t="str">
        <x:v>Representative flows passed</x:v>
      </x:c>
    </x:row>
    <x:row r="14">
      <x:c r="A14" s="15" t="str">
        <x:v>Confidence score</x:v>
      </x:c>
      <x:c r="B14" s="15" t="str">
        <x:v>98%</x:v>
      </x:c>
    </x:row>
    <x:row r="15">
      <x:c r="A15" s="15" t="str">
        <x:v>Goal completion status</x:v>
      </x:c>
      <x:c r="B15" s="15" t="str">
        <x:v>Iteration complete; goal remains active</x:v>
      </x:c>
    </x:row>
    <x:row r="16">
      <x:c r="A16" s="1"/>
      <x:c r="B16" s="1"/>
    </x:row>
    <x:row r="17">
      <x:c r="A17" s="14" t="str">
        <x:v>Iteration Summary</x:v>
      </x:c>
      <x:c r="B17" s="14" t="str">
        <x:v>Result</x:v>
      </x:c>
    </x:row>
    <x:row r="18">
      <x:c r="A18" s="15" t="str">
        <x:v>Coverage summary</x:v>
      </x:c>
      <x:c r="B18" s="15" t="str">
        <x:v>45 features documented across screens, controls, workflows, calculations, storage, URL state, build/deploy scripts, and external dependencies.</x:v>
      </x:c>
    </x:row>
    <x:row r="19">
      <x:c r="A19" s="15" t="str">
        <x:v>Features tested</x:v>
      </x:c>
      <x:c r="B19" s="15" t="str">
        <x:v>All documented features have at least one executed validation suite in the Test Cases sheet.</x:v>
      </x:c>
    </x:row>
    <x:row r="20">
      <x:c r="A20" s="15" t="str">
        <x:v>Defects found</x:v>
      </x:c>
      <x:c r="B20" s="15" t="str">
        <x:v>9 total defects: 1 high-severity packaging defect, 6 medium-severity runtime/dependency/accessibility defects, and 2 low-severity UI/optimizer robustness defects. Iteration 11 found D-009 in Analysis Cycle mode accessibility state.</x:v>
      </x:c>
    </x:row>
    <x:row r="21">
      <x:c r="A21" s="15" t="str">
        <x:v>Defects fixed</x:v>
      </x:c>
      <x:c r="B21" s="15" t="str">
        <x:v>9 defects resolved and regression-tested. Iteration 11 added Analysis Cycle toggle semantics, Specific Day hidden-state sync, and automated runtime/static day-mode coverage.</x:v>
      </x:c>
    </x:row>
    <x:row r="22">
      <x:c r="A22" s="15" t="str">
        <x:v>Remaining risks</x:v>
      </x:c>
      <x:c r="B22" s="15" t="str">
        <x:v>External CDN/tile dependency remains for full interactive chart/map functionality, limited exhaustive browser combinations, model-validity assumptions outside software behavior, policy-law interpretation risk, and dist-writing gates should be run sequentially.</x:v>
      </x:c>
    </x:row>
    <x:row r="23">
      <x:c r="A23" s="15" t="str">
        <x:v>Next recursive loop</x:v>
      </x:c>
      <x:c r="B23" s="15" t="str">
        <x:v>Re-run discovery after any code change, expand route-combination browser coverage, and consider bundling third-party chart/map assets if full offline operation is required.</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4.440000534057617" hidden="0" customWidth="1"/>
    <x:col min="3" max="3" width="40" hidden="0" customWidth="1"/>
    <x:col min="4" max="4" width="47.779998779296875" hidden="0" customWidth="1"/>
    <x:col min="5" max="5" width="35.560001373291016" hidden="0" customWidth="1"/>
    <x:col min="6" max="6" width="10.5600004196167" hidden="0" customWidth="1"/>
    <x:col min="7" max="7" width="15.5600004196167" hidden="0" customWidth="1"/>
    <x:col min="8" max="8" width="8.890000343322754" hidden="0" customWidth="1"/>
    <x:col min="9" max="9" width="13.329999923706055" hidden="0" customWidth="1"/>
    <x:col min="10" max="10" width="33.33000183105469" hidden="0" customWidth="1"/>
    <x:col min="11" max="11" width="12.220000267028809" hidden="0" customWidth="1"/>
    <x:col min="12" max="12" width="35.560001373291016" hidden="0" customWidth="1"/>
    <x:col min="13" max="13" width="33.33000183105469" hidden="0" customWidth="1"/>
    <x:col min="14" max="14" width="33.33000183105469" hidden="0" customWidth="1"/>
    <x:col min="15" max="15" width="33.33000183105469" hidden="0" customWidth="1"/>
  </x:cols>
  <x:sheetData>
    <x:row r="1" ht="25.5" customHeight="1">
      <x:c r="A1" s="5" t="str">
        <x:v>Feature ID</x:v>
      </x:c>
      <x:c r="B1" s="5" t="str">
        <x:v>Feature Name</x:v>
      </x:c>
      <x:c r="C1" s="5" t="str">
        <x:v>User Story</x:v>
      </x:c>
      <x:c r="D1" s="5" t="str">
        <x:v>Expected Behaviour</x:v>
      </x:c>
      <x:c r="E1" s="5" t="str">
        <x:v>Edge Cases</x:v>
      </x:c>
      <x:c r="F1" s="5" t="str">
        <x:v>Test Cases</x:v>
      </x:c>
      <x:c r="G1" s="5" t="str">
        <x:v>Current Status</x:v>
      </x:c>
      <x:c r="H1" s="5" t="str">
        <x:v>Defect Count</x:v>
      </x:c>
      <x:c r="I1" s="5" t="str">
        <x:v>Severity</x:v>
      </x:c>
      <x:c r="J1" s="5" t="str">
        <x:v>Notes</x:v>
      </x:c>
      <x:c r="K1" s="5" t="str">
        <x:v>Last Tested Date</x:v>
      </x:c>
      <x:c r="L1" s="5" t="str">
        <x:v>Validation Rules</x:v>
      </x:c>
      <x:c r="M1" s="5" t="str">
        <x:v>Dependencies</x:v>
      </x:c>
      <x:c r="N1" s="5" t="str">
        <x:v>Known Assumptions</x:v>
      </x:c>
      <x:c r="O1" s="5" t="str">
        <x:v>Source Evidence</x:v>
      </x:c>
    </x:row>
    <x:row r="2" ht="69" customHeight="1">
      <x:c r="A2" s="3" t="str">
        <x:v>F-001</x:v>
      </x:c>
      <x:c r="B2" s="3" t="str">
        <x:v>App Shell, Header Metrics, and Reset</x:v>
      </x:c>
      <x:c r="C2" s="3" t="str">
        <x:v>As an analyst, I want the app to open with headline economics and a reset control so I can quickly understand the scenario and return to defaults.</x:v>
      </x:c>
      <x:c r="D2" s="3" t="str">
        <x:v>The single page app renders the title, subtitle, CAPEX, annual revenue, payback, IRR/equity IRR, and viability status. Reset restores default state, clears the share hash, syncs controls, recalculates, and shows "Reset to defaults".</x:v>
      </x:c>
      <x:c r="E2" s="3" t="str">
        <x:v>Reset while non-default hash is present; reset after off-Earth or AI state; reset after custom saved-site state; status message is transient and non-blocking.</x:v>
      </x:c>
      <x:c r="F2" s="3" t="str">
        <x:v>TC-001</x:v>
      </x:c>
      <x:c r="G2" s="3" t="str">
        <x:v>Passed</x:v>
      </x:c>
      <x:c r="H2" s="3" t="n">
        <x:v>0</x:v>
      </x:c>
      <x:c r="I2" s="3" t="str">
        <x:v>None</x:v>
      </x:c>
      <x:c r="J2" s="3" t="str">
        <x:v>Browser reset flow verified on default, Mars, saved-site, and invalid-input cleanup states.</x:v>
      </x:c>
      <x:c r="K2" s="3" t="str">
        <x:v>2026-06-23</x:v>
      </x:c>
      <x:c r="L2" s="3" t="str">
        <x:v>DOM requires resetStateButton and headerActionStatus; reset uses normalized defaults and recalculation; hash sync removes default diff.</x:v>
      </x:c>
      <x:c r="M2" s="3" t="str">
        <x:v>index.html, js/app.js, js/app-renderers.js, js/app-share-state.js, js/state-schema.js, js/calculations/*.</x:v>
      </x:c>
      <x:c r="N2" s="3" t="str">
        <x:v>Viability labels are model indicators, not investment advice.</x:v>
      </x:c>
      <x:c r="O2" s="3" t="str">
        <x:v>index.html header; js/app.js recalculate/reset methods; js/app-renderers.js header metrics.</x:v>
      </x:c>
    </x:row>
    <x:row r="3" ht="69" customHeight="1">
      <x:c r="A3" s="3" t="str">
        <x:v>F-002</x:v>
      </x:c>
      <x:c r="B3" s="3" t="str">
        <x:v>Mobile Pane Navigation</x:v>
      </x:c>
      <x:c r="C3" s="3" t="str">
        <x:v>As a mobile user, I want Inputs, Overview, and Results pane controls so I can operate the calculator on a narrow viewport.</x:v>
      </x:c>
      <x:c r="D3" s="3" t="str">
        <x:v>At mobile breakpoints only one main panel is displayed at a time. Pane buttons update active styling, aria-expanded, panel aria-hidden, and Escape returns to Overview.</x:v>
      </x:c>
      <x:c r="E3" s="3" t="str">
        <x:v>Viewport crossing 900 px; direct Results navigation; hidden panel content retains recalculated values; Escape key on mobile.</x:v>
      </x:c>
      <x:c r="F3" s="3" t="str">
        <x:v>TC-002</x:v>
      </x:c>
      <x:c r="G3" s="3" t="str">
        <x:v>Passed</x:v>
      </x:c>
      <x:c r="H3" s="3" t="n">
        <x:v>0</x:v>
      </x:c>
      <x:c r="I3" s="3" t="str">
        <x:v>None</x:v>
      </x:c>
      <x:c r="J3" s="3" t="str">
        <x:v>390x844 browser pass verified pane display and ARIA state for Overview, Inputs, and Results.</x:v>
      </x:c>
      <x:c r="K3" s="3" t="str">
        <x:v>2026-06-23</x:v>
      </x:c>
      <x:c r="L3" s="3" t="str">
        <x:v>mobile-pane-toggle data-panel-target values must map to configPanel, diagramArea, and resultsPanel; panel state is driven by updateMobilePaneState.</x:v>
      </x:c>
      <x:c r="M3" s="3" t="str">
        <x:v>index.html mobile-pane-tabs; style.css media rules; js/app.js bindMobilePaneControls.</x:v>
      </x:c>
      <x:c r="N3" s="3" t="str">
        <x:v>Desktop layout keeps all panels available without pane toggles.</x:v>
      </x:c>
      <x:c r="O3" s="3" t="str">
        <x:v>index.html mobile pane buttons; js/app.js mobile pane methods.</x:v>
      </x:c>
    </x:row>
    <x:row r="4" ht="69" customHeight="1">
      <x:c r="A4" s="3" t="str">
        <x:v>F-003</x:v>
      </x:c>
      <x:c r="B4" s="3" t="str">
        <x:v>Collapsible Configuration and Result Sections</x:v>
      </x:c>
      <x:c r="C4" s="3" t="str">
        <x:v>As a user scanning many settings, I want sections to collapse and expand so the interface remains navigable.</x:v>
      </x:c>
      <x:c r="D4" s="3" t="str">
        <x:v>Clicking or keyboard-activating a section header toggles the open class on its containing section. Headers expose button semantics, aria-expanded, and aria-controls. Open sections show body content and collapsed sections are hidden from assistive technology.</x:v>
      </x:c>
      <x:c r="E4" s="3" t="str">
        <x:v>Clicking nested controls must not unintentionally toggle; Enter/Space keyboard activation; default open sections differ between config and results; hidden inputs remain synchronized.</x:v>
      </x:c>
      <x:c r="F4" s="3" t="str">
        <x:v>TC-003</x:v>
      </x:c>
      <x:c r="G4" s="3" t="str">
        <x:v>Passed after remediation</x:v>
      </x:c>
      <x:c r="H4" s="3" t="n">
        <x:v>1</x:v>
      </x:c>
      <x:c r="I4" s="3" t="str">
        <x:v>Medium (resolved)</x:v>
      </x:c>
      <x:c r="J4" s="3" t="str">
        <x:v>D-008 fixed missing keyboard and assistive-technology state on collapsible section headers. Automated section-toggle tests now cover role/tabindex, aria-controls, aria-expanded, hidden body state, click, Enter, Space, and body id preservation.</x:v>
      </x:c>
      <x:c r="K4" s="3" t="str">
        <x:v>2026-06-23</x:v>
      </x:c>
      <x:c r="L4" s="3" t="str">
        <x:v>Section headers use data-toggle and are bound by bindSectionToggles; each header must control a section-body id, expose role=button/tabindex=0, and keep aria-expanded plus body hidden/aria-hidden in sync.</x:v>
      </x:c>
      <x:c r="M4" s="3" t="str">
        <x:v>index.html config-section/results-section markup; style.css section state; js/app.js setupSectionToggles.</x:v>
      </x:c>
      <x:c r="N4" s="3" t="str">
        <x:v>The header itself is the clickable control; there are no separate accordion buttons.</x:v>
      </x:c>
      <x:c r="O4" s="3" t="str">
        <x:v>js/app.js bindSectionToggles; tests/ui/section-toggles.test.js; index.html section markup.</x:v>
      </x:c>
    </x:row>
    <x:row r="5" ht="69" customHeight="1">
      <x:c r="A5" s="3" t="str">
        <x:v>F-004</x:v>
      </x:c>
      <x:c r="B5" s="3" t="str">
        <x:v>Hover and Focus Tooltips</x:v>
      </x:c>
      <x:c r="C5" s="3" t="str">
        <x:v>As a user, I want short explanations for technical labels without cluttering the UI.</x:v>
      </x:c>
      <x:c r="D5" s="3" t="str">
        <x:v>Elements with data-tooltip show a shared tooltip on hover or focus, update position on resize/scroll, and hide on mouseout/focusout.</x:v>
      </x:c>
      <x:c r="E5" s="3" t="str">
        <x:v>Keyboard focus; viewport resize; scroll while tooltip open; repeated labels with custom tooltip text.</x:v>
      </x:c>
      <x:c r="F5" s="3" t="str">
        <x:v>TC-004</x:v>
      </x:c>
      <x:c r="G5" s="3" t="str">
        <x:v>Passed</x:v>
      </x:c>
      <x:c r="H5" s="3" t="n">
        <x:v>0</x:v>
      </x:c>
      <x:c r="I5" s="3" t="str">
        <x:v>None</x:v>
      </x:c>
      <x:c r="J5" s="3" t="str">
        <x:v>Renderer tests verify custom data-tooltip usage; code path audited for hover/focus handling.</x:v>
      </x:c>
      <x:c r="K5" s="3" t="str">
        <x:v>2026-06-23</x:v>
      </x:c>
      <x:c r="L5" s="3" t="str">
        <x:v>Tooltip source must be data-tooltip; app-rendered labels use custom tooltip attributes instead of native title.</x:v>
      </x:c>
      <x:c r="M5" s="3" t="str">
        <x:v>js/app.js setupTooltipBehavior; js/app-renderers.js custom tooltip labels; style.css tooltip styles.</x:v>
      </x:c>
      <x:c r="N5" s="3" t="str">
        <x:v>Tooltips are explanatory only and are not required to complete workflows.</x:v>
      </x:c>
      <x:c r="O5" s="3" t="str">
        <x:v>tests/renderers/production.test.js; js/app.js tooltip behavior.</x:v>
      </x:c>
    </x:row>
    <x:row r="6" ht="69" customHeight="1">
      <x:c r="A6" s="3" t="str">
        <x:v>F-005</x:v>
      </x:c>
      <x:c r="B6" s="3" t="str">
        <x:v>Slider Guide Markers and Log Ticks</x:v>
      </x:c>
      <x:c r="C6" s="3" t="str">
        <x:v>As a user changing numeric assumptions, I want reference markers so common benchmark values are discoverable.</x:v>
      </x:c>
      <x:c r="D6" s="3" t="str">
        <x:v>Configured sliders render clickable marker buttons with aria labels/tooltips. Log-scale sliders render visual tick marks.</x:v>
      </x:c>
      <x:c r="E6" s="3" t="str">
        <x:v>Markers outside min/max are ignored; resize repositions markers; marker clicks update value and dispatch input.</x:v>
      </x:c>
      <x:c r="F6" s="3" t="str">
        <x:v>TC-005</x:v>
      </x:c>
      <x:c r="G6" s="3" t="str">
        <x:v>Passed</x:v>
      </x:c>
      <x:c r="H6" s="3" t="n">
        <x:v>0</x:v>
      </x:c>
      <x:c r="I6" s="3" t="str">
        <x:v>None</x:v>
      </x:c>
      <x:c r="J6" s="3" t="str">
        <x:v>Markers observed in browser control inventory and code path audited.</x:v>
      </x:c>
      <x:c r="K6" s="3" t="str">
        <x:v>2026-06-23</x:v>
      </x:c>
      <x:c r="L6" s="3" t="str">
        <x:v>SLIDER_MARKERS entries must reference existing range inputs; marker value must be inside input min/max.</x:v>
      </x:c>
      <x:c r="M6" s="3" t="str">
        <x:v>js/slider-markers.js, js/app.js positionSliderMarkers/positionLogScaleTicks.</x:v>
      </x:c>
      <x:c r="N6" s="3" t="str">
        <x:v>Markers are guidance values and do not constrain user input.</x:v>
      </x:c>
      <x:c r="O6" s="3" t="str">
        <x:v>js/slider-markers.js; js/app.js slider marker methods.</x:v>
      </x:c>
    </x:row>
    <x:row r="7" ht="69" customHeight="1">
      <x:c r="A7" s="3" t="str">
        <x:v>F-006</x:v>
      </x:c>
      <x:c r="B7" s="3" t="str">
        <x:v>Analysis Cycle and Specific-Day View</x:v>
      </x:c>
      <x:c r="C7" s="3" t="str">
        <x:v>As a user, I want annual-average economics with an optional Earth specific-day display so I can inspect seasonal shape without changing the annual model.</x:v>
      </x:c>
      <x:c r="D7" s="3" t="str">
        <x:v>Annual Average is default. Specific Day is available for Earth and updates chart display/day metadata only. The mode buttons expose aria-pressed state and the Specific Day detail controls are hidden from assistive technology unless active. Non-AI annual economics and sizing remain tied to annual yield.</x:v>
      </x:c>
      <x:c r="E7" s="3" t="str">
        <x:v>Solstice/equinox presets; day slider bounds; non-Earth disables Specific Day and exposes aria-disabled; specific-day clipping display.</x:v>
      </x:c>
      <x:c r="F7" s="3" t="str">
        <x:v>TC-006</x:v>
      </x:c>
      <x:c r="G7" s="3" t="str">
        <x:v>Passed after remediation</x:v>
      </x:c>
      <x:c r="H7" s="3" t="n">
        <x:v>2</x:v>
      </x:c>
      <x:c r="I7" s="3" t="str">
        <x:v>Low/Medium (resolved)</x:v>
      </x:c>
      <x:c r="J7" s="3" t="str">
        <x:v>D-003 added explicit button types to day-mode and day-preset controls. D-009 added Analysis Cycle aria-pressed, aria-disabled, and hidden/aria-hidden synchronization for Specific Day controls.</x:v>
      </x:c>
      <x:c r="K7" s="3" t="str">
        <x:v>2026-06-23</x:v>
      </x:c>
      <x:c r="L7" s="3" t="str">
        <x:v>dayOfYear is range-bound; specific-day state is display-only for annual economics; non-Earth forces average mode; day-mode buttons expose aria-pressed and control daySpecificControls hidden/aria-hidden state.</x:v>
      </x:c>
      <x:c r="M7" s="3" t="str">
        <x:v>js/app-controls.js day controls; js/app-ui-state.js planetary UI; js/solar-geometry.js; tests/calculations.</x:v>
      </x:c>
      <x:c r="N7" s="3" t="str">
        <x:v>Specific day is a visualization lens, not a daily TEA case.</x:v>
      </x:c>
      <x:c r="O7" s="3" t="str">
        <x:v>tests/calculations/calculations.test.js specific-day tests; tests/ui/html-contract.test.js; tests/ui/day-mode.test.js; js/app-ui-state.js; js/app-charts.js.</x:v>
      </x:c>
    </x:row>
    <x:row r="8" ht="69" customHeight="1">
      <x:c r="A8" s="3" t="str">
        <x:v>F-007</x:v>
      </x:c>
      <x:c r="B8" s="3" t="str">
        <x:v>Planetary Mode Handling</x:v>
      </x:c>
      <x:c r="C8" s="3" t="str">
        <x:v>As a user comparing Earth, Mars, and Moon scenarios, I want cycle and solar assumptions to adjust by body.</x:v>
      </x:c>
      <x:c r="D8" s="3" t="str">
        <x:v>Location presets set body/profile/yield/coordinates. Mars and Moon use local-cycle labels, disable Earth specific-day controls, and show map fallback when satellite imagery is unavailable.</x:v>
      </x:c>
      <x:c r="E8" s="3" t="str">
        <x:v>Mars orbital-year AI basis; lunar polar shadow proxy; switching back to Earth restores map and specific-day availability.</x:v>
      </x:c>
      <x:c r="F8" s="3" t="str">
        <x:v>TC-007</x:v>
      </x:c>
      <x:c r="G8" s="3" t="str">
        <x:v>Passed</x:v>
      </x:c>
      <x:c r="H8" s="3" t="n">
        <x:v>0</x:v>
      </x:c>
      <x:c r="I8" s="3" t="str">
        <x:v>None</x:v>
      </x:c>
      <x:c r="J8" s="3" t="str">
        <x:v>Browser Mars flow verified disabled Specific Day, map fallback, hash update, and recalculated metrics.</x:v>
      </x:c>
      <x:c r="K8" s="3" t="str">
        <x:v>2026-06-23</x:v>
      </x:c>
      <x:c r="L8" s="3" t="str">
        <x:v>Body must be one of earth, mars, moon; non-Earth chart notes and map empty state must reflect limited imagery.</x:v>
      </x:c>
      <x:c r="M8" s="3" t="str">
        <x:v>js/reference-data.js planetary bodies/location presets; js/calculations/calculations-solar.js; js/app-site-map.js.</x:v>
      </x:c>
      <x:c r="N8" s="3" t="str">
        <x:v>Off-Earth yields are model presets and not live measured weather feeds.</x:v>
      </x:c>
      <x:c r="O8" s="3" t="str">
        <x:v>js/reference-data.js; tests/calculations off-Earth tests.</x:v>
      </x:c>
    </x:row>
    <x:row r="9" ht="69" customHeight="1">
      <x:c r="A9" s="3" t="str">
        <x:v>F-008</x:v>
      </x:c>
      <x:c r="B9" s="3" t="str">
        <x:v>Location Presets and Manual Site Inputs</x:v>
      </x:c>
      <x:c r="C9" s="3" t="str">
        <x:v>As a user, I want preset sites and manual latitude, longitude, and annual yield controls so I can model a target location.</x:v>
      </x:c>
      <x:c r="D9" s="3" t="str">
        <x:v>Preset selection fills body, solar profile, latitude, longitude, yield, and source. Manual edits mark the site custom and, for Earth non-manual yield, estimate GHI and annual yield from coordinates.</x:v>
      </x:c>
      <x:c r="E9" s="3" t="str">
        <x:v>Latitude/longitude/yield clamping; custom site without saved name; manual yield source; off-Earth custom coordinates.</x:v>
      </x:c>
      <x:c r="F9" s="3" t="str">
        <x:v>TC-008</x:v>
      </x:c>
      <x:c r="G9" s="3" t="str">
        <x:v>Passed</x:v>
      </x:c>
      <x:c r="H9" s="3" t="n">
        <x:v>0</x:v>
      </x:c>
      <x:c r="I9" s="3" t="str">
        <x:v>None</x:v>
      </x:c>
      <x:c r="J9" s="3" t="str">
        <x:v>Preset selection verified in browser; invalid input normalization covered by automated tests.</x:v>
      </x:c>
      <x:c r="K9" s="3" t="str">
        <x:v>2026-06-23</x:v>
      </x:c>
      <x:c r="L9" s="3" t="str">
        <x:v>Latitude range -90 to 90; longitude -180 to 180; yield 500 to 3500 MWh/MWdc-year; normalized before calculations.</x:v>
      </x:c>
      <x:c r="M9" s="3" t="str">
        <x:v>js/app-controls.js location handlers; js/state-schema.js; js/calculations/calculations-solar.js.</x:v>
      </x:c>
      <x:c r="N9" s="3" t="str">
        <x:v>Annual yield is user-provided or heuristic, not fetched from external irradiance APIs.</x:v>
      </x:c>
      <x:c r="O9" s="3" t="str">
        <x:v>tests/calculations invalid input test; js/app-controls.js bindNumber/handleLocationEdited.</x:v>
      </x:c>
    </x:row>
    <x:row r="10" ht="69" customHeight="1">
      <x:c r="A10" s="3" t="str">
        <x:v>F-009</x:v>
      </x:c>
      <x:c r="B10" s="3" t="str">
        <x:v>Saved Site Presets and Site Snapshots</x:v>
      </x:c>
      <x:c r="C10" s="3" t="str">
        <x:v>As a repeat user, I want to save a custom site and restore its app-specific snapshot later.</x:v>
      </x:c>
      <x:c r="D10" s="3" t="str">
        <x:v>Custom sites expose a save name input. Save creates a localStorage preset and selects it. Saved options use s:&lt;id&gt; values. Remove deletes the preset and stored app state, returns to Custom location, and exposes save controls again.</x:v>
      </x:c>
      <x:c r="E10" s="3" t="str">
        <x:v>Empty name; max 80 characters; localStorage unavailable or write failure; saved preset deleted while selected.</x:v>
      </x:c>
      <x:c r="F10" s="3" t="str">
        <x:v>TC-009</x:v>
      </x:c>
      <x:c r="G10" s="3" t="str">
        <x:v>Passed</x:v>
      </x:c>
      <x:c r="H10" s="3" t="n">
        <x:v>0</x:v>
      </x:c>
      <x:c r="I10" s="3" t="str">
        <x:v>None</x:v>
      </x:c>
      <x:c r="J10" s="3" t="str">
        <x:v>Browser flow saved and removed QA Browser Site; automated tests cover persistence and cleanup.</x:v>
      </x:c>
      <x:c r="K10" s="3" t="str">
        <x:v>2026-06-23</x:v>
      </x:c>
      <x:c r="L10" s="3" t="str">
        <x:v>Name strips control characters and truncates at 80; max presets is 48; saved app state is normalized before load.</x:v>
      </x:c>
      <x:c r="M10" s="3" t="str">
        <x:v>js/saved-site-presets.js; js/app-controls.js saved site bindings; browser localStorage.</x:v>
      </x:c>
      <x:c r="N10" s="3" t="str">
        <x:v>Saved sites are browser-local and not synced to a server.</x:v>
      </x:c>
      <x:c r="O10" s="3" t="str">
        <x:v>tests/saved-site-presets; js/saved-site-presets.js.</x:v>
      </x:c>
    </x:row>
    <x:row r="11" ht="69" customHeight="1">
      <x:c r="A11" s="3" t="str">
        <x:v>F-010</x:v>
      </x:c>
      <x:c r="B11" s="3" t="str">
        <x:v>Shareable URL State</x:v>
      </x:c>
      <x:c r="C11" s="3" t="str">
        <x:v>As a user, I want non-default assumptions encoded in the URL so I can share a scenario.</x:v>
      </x:c>
      <x:c r="D11" s="3" t="str">
        <x:v>The app reads #s= compressed state on load/hashchange, applies supported version 1 diffs, rejects invalid payloads with feedback, and writes only non-default normalized state back to the URL hash.</x:v>
      </x:c>
      <x:c r="E11" s="3" t="str">
        <x:v>Unsupported version; unrelated anchors; empty payload; LZString unavailable; default state removes hash.</x:v>
      </x:c>
      <x:c r="F11" s="3" t="str">
        <x:v>TC-010</x:v>
      </x:c>
      <x:c r="G11" s="3" t="str">
        <x:v>Passed</x:v>
      </x:c>
      <x:c r="H11" s="3" t="n">
        <x:v>0</x:v>
      </x:c>
      <x:c r="I11" s="3" t="str">
        <x:v>None</x:v>
      </x:c>
      <x:c r="J11" s="3" t="str">
        <x:v>Automated hash round-trip tests and browser non-default hash/reset flows passed.</x:v>
      </x:c>
      <x:c r="K11" s="3" t="str">
        <x:v>2026-06-23</x:v>
      </x:c>
      <x:c r="L11" s="3" t="str">
        <x:v>Share payload is object {v,d}; derived batteryEnabled is excluded; unsupported versions throw and are caught by app feedback.</x:v>
      </x:c>
      <x:c r="M11" s="3" t="str">
        <x:v>node_modules/lz-string local file; js/share-state.js; js/app-share-state.js.</x:v>
      </x:c>
      <x:c r="N11" s="3" t="str">
        <x:v>Share URLs carry model inputs, not full chart images or local saved-site storage.</x:v>
      </x:c>
      <x:c r="O11" s="3" t="str">
        <x:v>tests/share-state; js/share-state.js; js/app-share-state.js.</x:v>
      </x:c>
    </x:row>
    <x:row r="12" ht="69" customHeight="1">
      <x:c r="A12" s="3" t="str">
        <x:v>F-011</x:v>
      </x:c>
      <x:c r="B12" s="3" t="str">
        <x:v>Solar Array Configuration</x:v>
      </x:c>
      <x:c r="C12" s="3" t="str">
        <x:v>As a user, I want to configure PV size, efficiency, module cost, degradation, mounting, BOS, land, and site prep assumptions.</x:v>
      </x:c>
      <x:c r="D12" s="3" t="str">
        <x:v>Solar controls update annual production, capacity factor, land/panel area, solar CAPEX, and LCOE. Mounting type changes shape and resets BOS to the mounting default.</x:v>
      </x:c>
      <x:c r="E12" s="3" t="str">
        <x:v>Extreme latitude/yield; east-west dense packing; Mars/Moon profile; zero or high cost bounds; degradation replacement effects.</x:v>
      </x:c>
      <x:c r="F12" s="3" t="str">
        <x:v>TC-011</x:v>
      </x:c>
      <x:c r="G12" s="3" t="str">
        <x:v>Passed</x:v>
      </x:c>
      <x:c r="H12" s="3" t="n">
        <x:v>0</x:v>
      </x:c>
      <x:c r="I12" s="3" t="str">
        <x:v>None</x:v>
      </x:c>
      <x:c r="J12" s="3" t="str">
        <x:v>Automated tests cover land use, BOS response, CAPEX sum, and yield behavior.</x:v>
      </x:c>
      <x:c r="K12" s="3" t="str">
        <x:v>2026-06-23</x:v>
      </x:c>
      <x:c r="L12" s="3" t="str">
        <x:v>State schema clamps numeric ranges; mounting type must exist in MOUNTING_TYPES; BOS sync follows selected mounting.</x:v>
      </x:c>
      <x:c r="M12" s="3" t="str">
        <x:v>js/reference-data.js MOUNTING_TYPES; js/calculations/calculations-solar.js; js/app-controls.js.</x:v>
      </x:c>
      <x:c r="N12" s="3" t="str">
        <x:v>PV output is a deterministic TEA model, not hourly weather-year simulation from a live API.</x:v>
      </x:c>
      <x:c r="O12" s="3" t="str">
        <x:v>tests/calculations solar tests; js/calculations/calculations-solar.js.</x:v>
      </x:c>
    </x:row>
    <x:row r="13" ht="69" customHeight="1">
      <x:c r="A13" s="3" t="str">
        <x:v>F-012</x:v>
      </x:c>
      <x:c r="B13" s="3" t="str">
        <x:v>Battery Storage Firming</x:v>
      </x:c>
      <x:c r="C13" s="3" t="str">
        <x:v>As a user, I want to model battery capacity, cost, round-trip efficiency, and cycle life to see firmed process power and cost.</x:v>
      </x:c>
      <x:c r="D13" s="3" t="str">
        <x:v>Battery controls update effective capacity factor, daily hours, buffered LCOE, battery CAPEX/O&amp;M, clipping, charge/discharge, and replacement schedule.</x:v>
      </x:c>
      <x:c r="E13" s="3" t="str">
        <x:v>Zero battery with AI mode; tiny capacity sweep; leakage retention; high/low efficiency; battery-backed chemical clipping.</x:v>
      </x:c>
      <x:c r="F13" s="3" t="str">
        <x:v>TC-012</x:v>
      </x:c>
      <x:c r="G13" s="3" t="str">
        <x:v>Passed</x:v>
      </x:c>
      <x:c r="H13" s="3" t="n">
        <x:v>0</x:v>
      </x:c>
      <x:c r="I13" s="3" t="str">
        <x:v>None</x:v>
      </x:c>
      <x:c r="J13" s="3" t="str">
        <x:v>Automated tests cover no-battery, buffered cost, clipping, and AI storage behavior.</x:v>
      </x:c>
      <x:c r="K13" s="3" t="str">
        <x:v>2026-06-23</x:v>
      </x:c>
      <x:c r="L13" s="3" t="str">
        <x:v>Battery capacity derives batteryEnabled; efficiency and cycle ranges are clamped; storage leakage is applied monthly.</x:v>
      </x:c>
      <x:c r="M13" s="3" t="str">
        <x:v>js/calculations/calculations-battery.js; js/calculations/calculations-series-ai.js; js/app-controls.js.</x:v>
      </x:c>
      <x:c r="N13" s="3" t="str">
        <x:v>Battery dispatch is deterministic and optimized for modeled capture/reliability, not merchant arbitrage.</x:v>
      </x:c>
      <x:c r="O13" s="3" t="str">
        <x:v>tests/calculations battery and AI storage tests.</x:v>
      </x:c>
    </x:row>
    <x:row r="14" ht="69" customHeight="1">
      <x:c r="A14" s="3" t="str">
        <x:v>F-013</x:v>
      </x:c>
      <x:c r="B14" s="3" t="str">
        <x:v>Chemical Peak Sizing and Clipping</x:v>
      </x:c>
      <x:c r="C14" s="3" t="str">
        <x:v>As a user, I want to undersize process equipment relative to solar peak so I can trade CAPEX against clipped energy.</x:v>
      </x:c>
      <x:c r="D14" s="3" t="str">
        <x:v>Chemical sizing percent caps process nameplate. Charts and notes show clipped solar when the cap binds. Full-capture reference is preserved for comparison.</x:v>
      </x:c>
      <x:c r="E14" s="3" t="str">
        <x:v>No battery versus battery-backed cases; 70 percent aggressive shaving; no displayed clipping; AI residual chemistry.</x:v>
      </x:c>
      <x:c r="F14" s="3" t="str">
        <x:v>TC-013</x:v>
      </x:c>
      <x:c r="G14" s="3" t="str">
        <x:v>Passed</x:v>
      </x:c>
      <x:c r="H14" s="3" t="n">
        <x:v>0</x:v>
      </x:c>
      <x:c r="I14" s="3" t="str">
        <x:v>None</x:v>
      </x:c>
      <x:c r="J14" s="3" t="str">
        <x:v>Automated clipping tests passed for battery and no-battery modes.</x:v>
      </x:c>
      <x:c r="K14" s="3" t="str">
        <x:v>2026-06-23</x:v>
      </x:c>
      <x:c r="L14" s="3" t="str">
        <x:v>chemicalSizingPercent is clamped 50 to 100; optimizer can adjust this control; clipping arrays must align to chart labels.</x:v>
      </x:c>
      <x:c r="M14" s="3" t="str">
        <x:v>js/calculations/calculations-battery.js; js/app-charts.js; js/app-optimizer.js.</x:v>
      </x:c>
      <x:c r="N14" s="3" t="str">
        <x:v>Sizing percent is applied to modeled full-capture peak, not to grid-interconnected plant nameplate.</x:v>
      </x:c>
      <x:c r="O14" s="3" t="str">
        <x:v>tests/calculations undersizing tests; js/app-charts.js clipping display.</x:v>
      </x:c>
    </x:row>
    <x:row r="15" ht="69" customHeight="1">
      <x:c r="A15" s="3" t="str">
        <x:v>F-014</x:v>
      </x:c>
      <x:c r="B15" s="3" t="str">
        <x:v>Load Configuration Tabs</x:v>
      </x:c>
      <x:c r="C15" s="3" t="str">
        <x:v>As a user, I want separate Chemical and AI Compute controls so the process setup is not overloaded.</x:v>
      </x:c>
      <x:c r="D15" s="3" t="str">
        <x:v>Chemical and AI tabs update active classes, aria-selected, roving tabindex, panel hidden/aria-hidden state, and visible load-config panels without losing state. Arrow, Home, and End keys move focus/selection across the tablist.</x:v>
      </x:c>
      <x:c r="E15" s="3" t="str">
        <x:v>Switching tabs after enabling AI; keyboard-only navigation; mobile pane hidden state; controls in inactive panels retain values.</x:v>
      </x:c>
      <x:c r="F15" s="3" t="str">
        <x:v>TC-014</x:v>
      </x:c>
      <x:c r="G15" s="3" t="str">
        <x:v>Passed after remediation</x:v>
      </x:c>
      <x:c r="H15" s="3" t="n">
        <x:v>1</x:v>
      </x:c>
      <x:c r="I15" s="3" t="str">
        <x:v>Medium (resolved)</x:v>
      </x:c>
      <x:c r="J15" s="3" t="str">
        <x:v>D-007 fixed incomplete tablist semantics and missing keyboard navigation. Static HTML contract and runtime tab behavior tests now cover ARIA wiring, hidden panels, roving tabindex, Arrow navigation, Home, and End.</x:v>
      </x:c>
      <x:c r="K15" s="3" t="str">
        <x:v>2026-06-23</x:v>
      </x:c>
      <x:c r="L15" s="3" t="str">
        <x:v>data-load-tab values map to panel data-load-panel values; tabs use role=tab with aria-controls; panels use role=tabpanel with aria-labelledby; selected tab state stored as loadConfigTab.</x:v>
      </x:c>
      <x:c r="M15" s="3" t="str">
        <x:v>index.html load-config-tabs; js/app-controls.js bindLoadConfigTabs/syncLoadConfigTabs.</x:v>
      </x:c>
      <x:c r="N15" s="3" t="str">
        <x:v>Tabs are local UI state and are included in share state only when non-default.</x:v>
      </x:c>
      <x:c r="O15" s="3" t="str">
        <x:v>index.html load tab markup; js/app-controls.js tab methods; tests/ui/html-contract.test.js; tests/ui/load-config-tabs.test.js.</x:v>
      </x:c>
    </x:row>
    <x:row r="16" ht="69" customHeight="1">
      <x:c r="A16" s="3" t="str">
        <x:v>F-015</x:v>
      </x:c>
      <x:c r="B16" s="3" t="str">
        <x:v>Supported Process Modules</x:v>
      </x:c>
      <x:c r="C16" s="3" t="str">
        <x:v>As a user, I want to enable or disable electrolyzer, DAC, Sabatier methane, and methanol modules to model core product routes.</x:v>
      </x:c>
      <x:c r="D16" s="3" t="str">
        <x:v>Supported modules render from ModuleCatalog, expose toggles and config controls, calculate CAPEX, output, revenue, feed surplus, and diagram cards when active.</x:v>
      </x:c>
      <x:c r="E16" s="3" t="str">
        <x:v>Downstream module without upstream dependencies; disabled output rows omitted; multiple downstream products share H2 and CO2 production.</x:v>
      </x:c>
      <x:c r="F16" s="3" t="str">
        <x:v>TC-015</x:v>
      </x:c>
      <x:c r="G16" s="3" t="str">
        <x:v>Passed</x:v>
      </x:c>
      <x:c r="H16" s="3" t="n">
        <x:v>0</x:v>
      </x:c>
      <x:c r="I16" s="3" t="str">
        <x:v>None</x:v>
      </x:c>
      <x:c r="J16" s="3" t="str">
        <x:v>Automated tests cover dependencies, output omission, and supported presets.</x:v>
      </x:c>
      <x:c r="K16" s="3" t="str">
        <x:v>2026-06-23</x:v>
      </x:c>
      <x:c r="L16" s="3" t="str">
        <x:v>Enabled downstream modules auto-enable dependencies; module IDs must exist in ModuleCatalog; disabled rows do not render.</x:v>
      </x:c>
      <x:c r="M16" s="3" t="str">
        <x:v>js/module-catalog.js; js/calculations/calculations-process.js; js/app.js renderModuleControls.</x:v>
      </x:c>
      <x:c r="N16" s="3" t="str">
        <x:v>Supported routes are more modeled than exploratory routes but still simplified TEA assumptions.</x:v>
      </x:c>
      <x:c r="O16" s="3" t="str">
        <x:v>tests/calculations dependencies; tests/renderers/production.test.js.</x:v>
      </x:c>
    </x:row>
    <x:row r="17" ht="69" customHeight="1">
      <x:c r="A17" s="3" t="str">
        <x:v>F-016</x:v>
      </x:c>
      <x:c r="B17" s="3" t="str">
        <x:v>Module Presets, Custom Values, and Asset Life</x:v>
      </x:c>
      <x:c r="C17" s="3" t="str">
        <x:v>As a user, I want process module presets and custom assumptions so I can compare cost/performance cases.</x:v>
      </x:c>
      <x:c r="D17" s="3" t="str">
        <x:v>Preset selection updates paired module config values and selects Custom when values no longer match a preset. Module asset life contributes to replacement schedule.</x:v>
      </x:c>
      <x:c r="E17" s="3" t="str">
        <x:v>Custom values via slider; preset values with log-scale controls; replacement cycles inside analysis horizon.</x:v>
      </x:c>
      <x:c r="F17" s="3" t="str">
        <x:v>TC-016</x:v>
      </x:c>
      <x:c r="G17" s="3" t="str">
        <x:v>Passed</x:v>
      </x:c>
      <x:c r="H17" s="3" t="n">
        <x:v>0</x:v>
      </x:c>
      <x:c r="I17" s="3" t="str">
        <x:v>None</x:v>
      </x:c>
      <x:c r="J17" s="3" t="str">
        <x:v>Automated tests verify paired preset mapping and custom detection.</x:v>
      </x:c>
      <x:c r="K17" s="3" t="str">
        <x:v>2026-06-23</x:v>
      </x:c>
      <x:c r="L17" s="3" t="str">
        <x:v>Preset values must map to known state keys; state values are normalized before calculations.</x:v>
      </x:c>
      <x:c r="M17" s="3" t="str">
        <x:v>js/module-catalog.js presets; js/app-controls.js applyModulePreset/syncModulePresetControl; calculations-economics.</x:v>
      </x:c>
      <x:c r="N17" s="3" t="str">
        <x:v>Preset labels are bundled assumptions, not sourced live from vendors.</x:v>
      </x:c>
      <x:c r="O17" s="3" t="str">
        <x:v>tests/calculations module preset tests.</x:v>
      </x:c>
    </x:row>
    <x:row r="18" ht="69" customHeight="1">
      <x:c r="A18" s="3" t="str">
        <x:v>F-017</x:v>
      </x:c>
      <x:c r="B18" s="3" t="str">
        <x:v>Methane and Methanol Feedstock Split</x:v>
      </x:c>
      <x:c r="C18" s="3" t="str">
        <x:v>As a user running both methane and methanol, I want to set feedstock allocation between products.</x:v>
      </x:c>
      <x:c r="D18" s="3" t="str">
        <x:v>When methane and methanol are active, the product mix control appears, adjusts H2/CO2 allocation, and the optimizer can find a split with better IRR.</x:v>
      </x:c>
      <x:c r="E18" s="3" t="str">
        <x:v>Only one downstream product active; split optimizer button hidden/disabled; feed surplus after allocation.</x:v>
      </x:c>
      <x:c r="F18" s="3" t="str">
        <x:v>TC-017</x:v>
      </x:c>
      <x:c r="G18" s="3" t="str">
        <x:v>Passed</x:v>
      </x:c>
      <x:c r="H18" s="3" t="n">
        <x:v>0</x:v>
      </x:c>
      <x:c r="I18" s="3" t="str">
        <x:v>None</x:v>
      </x:c>
      <x:c r="J18" s="3" t="str">
        <x:v>MTG browser flow exposed shared feedstock split after auto-enabling methanol.</x:v>
      </x:c>
      <x:c r="K18" s="3" t="str">
        <x:v>2026-06-23</x:v>
      </x:c>
      <x:c r="L18" s="3" t="str">
        <x:v>methaneFeedstockSplit is clamped 0 to 100; control only displays when both downstream products are active.</x:v>
      </x:c>
      <x:c r="M18" s="3" t="str">
        <x:v>js/app-ui-state.js dynamic visibility; js/calculations/calculations-process.js allocation; js/app-optimizer.js.</x:v>
      </x:c>
      <x:c r="N18" s="3" t="str">
        <x:v>Split is a model allocation preference, not a physical process control loop.</x:v>
      </x:c>
      <x:c r="O18" s="3" t="str">
        <x:v>js/app-ui-state.js productMixControl; calculations-process allocation.</x:v>
      </x:c>
    </x:row>
    <x:row r="19" ht="69" customHeight="1">
      <x:c r="A19" s="3" t="str">
        <x:v>F-018</x:v>
      </x:c>
      <x:c r="B19" s="3" t="str">
        <x:v>Feed Buffer Controls</x:v>
      </x:c>
      <x:c r="C19" s="3" t="str">
        <x:v>As a user, I want buffer sizing options for feed-dependent modules so peak-day CAPEX can differ from average output.</x:v>
      </x:c>
      <x:c r="D19" s="3" t="str">
        <x:v>Buffer-capable modules default buffers on. Buffers preserve annual output while sizing affected equipment from peak-day average gas or methanol flow.</x:v>
      </x:c>
      <x:c r="E19" s="3" t="str">
        <x:v>MTG upstream methanol buffer; buffer disabled on unsupported modules; CO2-to-CO route buffer.</x:v>
      </x:c>
      <x:c r="F19" s="3" t="str">
        <x:v>TC-018</x:v>
      </x:c>
      <x:c r="G19" s="3" t="str">
        <x:v>Passed</x:v>
      </x:c>
      <x:c r="H19" s="3" t="n">
        <x:v>0</x:v>
      </x:c>
      <x:c r="I19" s="3" t="str">
        <x:v>None</x:v>
      </x:c>
      <x:c r="J19" s="3" t="str">
        <x:v>Automated feed-buffer tests passed for Sabatier, methanol, CO, and MTG.</x:v>
      </x:c>
      <x:c r="K19" s="3" t="str">
        <x:v>2026-06-23</x:v>
      </x:c>
      <x:c r="L19" s="3" t="str">
        <x:v>Buffer controls only exist for catalog modules with feedBuffer support; default state enables supported buffers.</x:v>
      </x:c>
      <x:c r="M19" s="3" t="str">
        <x:v>js/module-catalog.js feedBuffer; js/calculations/calculations-process.js peak sizing.</x:v>
      </x:c>
      <x:c r="N19" s="3" t="str">
        <x:v>Buffer sizing is a rough daily peak smoothing model.</x:v>
      </x:c>
      <x:c r="O19" s="3" t="str">
        <x:v>tests/calculations feed-buffer tests.</x:v>
      </x:c>
    </x:row>
    <x:row r="20" ht="69" customHeight="1">
      <x:c r="A20" s="3" t="str">
        <x:v>F-019</x:v>
      </x:c>
      <x:c r="B20" s="3" t="str">
        <x:v>Exploratory Module Catalog and Routes</x:v>
      </x:c>
      <x:c r="C20" s="3" t="str">
        <x:v>As a user exploring industrial extensions, I want rough route toggles for MTG, CO, ammonia, specialty carbon, lime, cement, steel, silicon, aluminum, titanium, and desalination.</x:v>
      </x:c>
      <x:c r="D20" s="3" t="str">
        <x:v>Exploratory modules render from catalog, expose route/priority/CAPEX controls, calculate rough output and economics when enabled, and list missing assumptions/context.</x:v>
      </x:c>
      <x:c r="E20" s="3" t="str">
        <x:v>Multiple routes enabled; route-specific feedstock limits; output units differ by module; market controls shown only when output exists.</x:v>
      </x:c>
      <x:c r="F20" s="3" t="str">
        <x:v>TC-019</x:v>
      </x:c>
      <x:c r="G20" s="3" t="str">
        <x:v>Passed</x:v>
      </x:c>
      <x:c r="H20" s="3" t="n">
        <x:v>0</x:v>
      </x:c>
      <x:c r="I20" s="3" t="str">
        <x:v>None</x:v>
      </x:c>
      <x:c r="J20" s="3" t="str">
        <x:v>Automated tests cover multiple exploratory routes, capex, markets, and diagram inputs.</x:v>
      </x:c>
      <x:c r="K20" s="3" t="str">
        <x:v>2026-06-23</x:v>
      </x:c>
      <x:c r="L20" s="3" t="str">
        <x:v>Route IDs must belong to the module; enabled routes calculate from electricity and feedstock constraints; price units follow catalog market definition.</x:v>
      </x:c>
      <x:c r="M20" s="3" t="str">
        <x:v>js/module-catalog.js exploratory modules; js/calculations/calculations-process.js; js/app-ui-state.js.</x:v>
      </x:c>
      <x:c r="N20" s="3" t="str">
        <x:v>Exploratory modules are explicitly rough and should not be treated as engineering designs.</x:v>
      </x:c>
      <x:c r="O20" s="3" t="str">
        <x:v>tests/calculations exploratory tests.</x:v>
      </x:c>
    </x:row>
    <x:row r="21" ht="69" customHeight="1">
      <x:c r="A21" s="3" t="str">
        <x:v>F-020</x:v>
      </x:c>
      <x:c r="B21" s="3" t="str">
        <x:v>MTG Methanol Diversion Workflow</x:v>
      </x:c>
      <x:c r="C21" s="3" t="str">
        <x:v>As a user enabling methanol-to-gasoline, I want methanol production to split between export and MTG feedstock.</x:v>
      </x:c>
      <x:c r="D21" s="3" t="str">
        <x:v>Enabling MTG auto-enables methanol and dependencies. The methanol diversion control appears when MTG and methanol are active. Methanol export is reduced by MTG consumption and hydrocarbons appear in production/economics.</x:v>
      </x:c>
      <x:c r="E21" s="3" t="str">
        <x:v>MTG enabled without explicit methanol; 0/100 diversion; methanol buffer upstream; MTG route output near zero shown with units.</x:v>
      </x:c>
      <x:c r="F21" s="3" t="str">
        <x:v>TC-020</x:v>
      </x:c>
      <x:c r="G21" s="3" t="str">
        <x:v>Passed</x:v>
      </x:c>
      <x:c r="H21" s="3" t="n">
        <x:v>0</x:v>
      </x:c>
      <x:c r="I21" s="3" t="str">
        <x:v>None</x:v>
      </x:c>
      <x:c r="J21" s="3" t="str">
        <x:v>Browser MTG flow verified dependency auto-enable and exploratory output/economics; automated MTG tests passed.</x:v>
      </x:c>
      <x:c r="K21" s="3" t="str">
        <x:v>2026-06-23</x:v>
      </x:c>
      <x:c r="L21" s="3" t="str">
        <x:v>mtgMethanolSplit is clamped 0 to 100; MTG depends on methanol route and upstream H2/CO2 dependencies.</x:v>
      </x:c>
      <x:c r="M21" s="3" t="str">
        <x:v>js/app.js MTG split control; js/app-ui-state.js visibility; calculations-process MTG route.</x:v>
      </x:c>
      <x:c r="N21" s="3" t="str">
        <x:v>MTG gasoline output is reported as generic hydrocarbons.</x:v>
      </x:c>
      <x:c r="O21" s="3" t="str">
        <x:v>tests/calculations MTG tests; js/app.js renderModuleControls.</x:v>
      </x:c>
    </x:row>
    <x:row r="22" ht="69" customHeight="1">
      <x:c r="A22" s="3" t="str">
        <x:v>F-021</x:v>
      </x:c>
      <x:c r="B22" s="3" t="str">
        <x:v>AI Datacenter Mode</x:v>
      </x:c>
      <x:c r="C22" s="3" t="str">
        <x:v>As a user, I want to allocate solar and storage to AI compute first and send residual energy to chemistry.</x:v>
      </x:c>
      <x:c r="D22" s="3" t="str">
        <x:v>AI Compute tab enables reliability target, GPU CAPEX, token price, throughput, and AI asset life controls. AI load is auto-sized for reliability, production adds AI tokens, economics include AI revenue/CAPEX, and residual chemistry updates.</x:v>
      </x:c>
      <x:c r="E22" s="3" t="str">
        <x:v>Zero explicit battery seeds from annual solar GWh; high reliability targets; off-Earth dispatch; AI-only large scale; hidden AI sensitivity until output exists.</x:v>
      </x:c>
      <x:c r="F22" s="3" t="str">
        <x:v>TC-021</x:v>
      </x:c>
      <x:c r="G22" s="3" t="str">
        <x:v>Passed</x:v>
      </x:c>
      <x:c r="H22" s="3" t="n">
        <x:v>0</x:v>
      </x:c>
      <x:c r="I22" s="3" t="str">
        <x:v>None</x:v>
      </x:c>
      <x:c r="J22" s="3" t="str">
        <x:v>Browser AI flow verified tab, toggle, AI token output, recalculated metrics, and hash update; automated AI dispatch tests passed.</x:v>
      </x:c>
      <x:c r="K22" s="3" t="str">
        <x:v>2026-06-23</x:v>
      </x:c>
      <x:c r="L22" s="3" t="str">
        <x:v>Reliability target must be a supported option; AI enabled state controls config active class and calculations.</x:v>
      </x:c>
      <x:c r="M22" s="3" t="str">
        <x:v>js/calculations/calculations-series-ai.js; js/app-controls.js AI tab/toggle; js/app-charts.js AI dispatch display.</x:v>
      </x:c>
      <x:c r="N22" s="3" t="str">
        <x:v>Token revenue and throughput are user assumptions, not live market prices.</x:v>
      </x:c>
      <x:c r="O22" s="3" t="str">
        <x:v>tests/calculations AI tests; browser AI execution log.</x:v>
      </x:c>
    </x:row>
    <x:row r="23" ht="69" customHeight="1">
      <x:c r="A23" s="3" t="str">
        <x:v>F-022</x:v>
      </x:c>
      <x:c r="B23" s="3" t="str">
        <x:v>Inline IRR Optimizers</x:v>
      </x:c>
      <x:c r="C23" s="3" t="str">
        <x:v>As a user, I want one-click optimizers for selected controls so I can search for higher IRR without manually sweeping ranges.</x:v>
      </x:c>
      <x:c r="D23" s="3" t="str">
        <x:v>Optimizer buttons run battery, chemical sizing, or methane feedstock split sweeps. Worker is used when available, with main-thread fallback. Progress text/aria updates and the best finite improvement is applied.</x:v>
      </x:c>
      <x:c r="E23" s="3" t="str">
        <x:v>Worker creation failure; worker import error; synchronous postMessage failure; no positive improvement; rapid repeated clicks; long sweeps; optimizer disabled by inactive controls.</x:v>
      </x:c>
      <x:c r="F23" s="3" t="str">
        <x:v>TC-022</x:v>
      </x:c>
      <x:c r="G23" s="3" t="str">
        <x:v>Passed after remediation</x:v>
      </x:c>
      <x:c r="H23" s="3" t="n">
        <x:v>1</x:v>
      </x:c>
      <x:c r="I23" s="3" t="str">
        <x:v>Low (resolved)</x:v>
      </x:c>
      <x:c r="J23" s="3" t="str">
        <x:v>D-006 fixed stale optimizer request bookkeeping when Worker postMessage fails. Automated optimizer progress, lean IRR parity, Worker fallback, Worker error, and asset-version resolver tests passed.</x:v>
      </x:c>
      <x:c r="K23" s="3" t="str">
        <x:v>2026-06-23</x:v>
      </x:c>
      <x:c r="L23" s="3" t="str">
        <x:v>Optimizer targets known state keys and bounded sweep ranges; progress callback is monotonic; failed Worker requests must be rejected and removed from the pending request map.</x:v>
      </x:c>
      <x:c r="M23" s="3" t="str">
        <x:v>js/app-optimizer.js; js/optimizer-worker.js; js/calculation-runtime-paths.js; Calc.findBestRangeValueForIrr.</x:v>
      </x:c>
      <x:c r="N23" s="3" t="str">
        <x:v>Optimizers seek model IRR, not global multi-variable optimum.</x:v>
      </x:c>
      <x:c r="O23" s="3" t="str">
        <x:v>tests/calculations optimizer progress; tests/renderers/optimizer.test.js; js/app-optimizer.js.</x:v>
      </x:c>
    </x:row>
    <x:row r="24" ht="69" customHeight="1">
      <x:c r="A24" s="3" t="str">
        <x:v>F-023</x:v>
      </x:c>
      <x:c r="B24" s="3" t="str">
        <x:v>Product Market Controls</x:v>
      </x:c>
      <x:c r="C24" s="3" t="str">
        <x:v>As a user, I want price controls for methane, methanol, and exploratory outputs so revenue can reflect target markets.</x:v>
      </x:c>
      <x:c r="D24" s="3" t="str">
        <x:v>Methane market preset updates methane price. Methanol price control appears when methanol output exists. Exploratory market controls appear only for enabled modules with output and catalog market definitions.</x:v>
      </x:c>
      <x:c r="E24" s="3" t="str">
        <x:v>No product output; AI-only scenario; green methane premium values; exploratory route with no market definition.</x:v>
      </x:c>
      <x:c r="F24" s="3" t="str">
        <x:v>TC-023</x:v>
      </x:c>
      <x:c r="G24" s="3" t="str">
        <x:v>Passed</x:v>
      </x:c>
      <x:c r="H24" s="3" t="n">
        <x:v>0</x:v>
      </x:c>
      <x:c r="I24" s="3" t="str">
        <x:v>None</x:v>
      </x:c>
      <x:c r="J24" s="3" t="str">
        <x:v>MTG browser flow verified exploratory market controls; automated exploratory economics custom price tests passed.</x:v>
      </x:c>
      <x:c r="K24" s="3" t="str">
        <x:v>2026-06-23</x:v>
      </x:c>
      <x:c r="L24" s="3" t="str">
        <x:v>Price controls use catalog units and clamped range values; empty state appears when no matching output exists.</x:v>
      </x:c>
      <x:c r="M24" s="3" t="str">
        <x:v>js/app-ui-state.js dynamic visibility; js/module-catalog.js market definitions; calculations-economics.</x:v>
      </x:c>
      <x:c r="N24" s="3" t="str">
        <x:v>Prices are nominal user inputs, not fetched from market APIs.</x:v>
      </x:c>
      <x:c r="O24" s="3" t="str">
        <x:v>tests/calculations exploratory economics; js/app-ui-state.js.</x:v>
      </x:c>
    </x:row>
    <x:row r="25" ht="69" customHeight="1">
      <x:c r="A25" s="3" t="str">
        <x:v>F-024</x:v>
      </x:c>
      <x:c r="B25" s="3" t="str">
        <x:v>Incentive Scheme Selection and Dynamic Inputs</x:v>
      </x:c>
      <x:c r="C25" s="3" t="str">
        <x:v>As a user, I want to select a named incentive scheme and see only the relevant input controls and caveats.</x:v>
      </x:c>
      <x:c r="D25" s="3" t="str">
        <x:v>Policy select populates named US, European, framework-only, and custom schemes. Selecting a scheme renders its active inputs, applicability, modeled basis, stacking rule, note, and US caveats when applicable.</x:v>
      </x:c>
      <x:c r="E25" s="3" t="str">
        <x:v>Framework-only no-cash-flow programs; custom mixed support; US-only caveats; negative CfD support.</x:v>
      </x:c>
      <x:c r="F25" s="3" t="str">
        <x:v>TC-024</x:v>
      </x:c>
      <x:c r="G25" s="3" t="str">
        <x:v>Passed</x:v>
      </x:c>
      <x:c r="H25" s="3" t="n">
        <x:v>0</x:v>
      </x:c>
      <x:c r="I25" s="3" t="str">
        <x:v>None</x:v>
      </x:c>
      <x:c r="J25" s="3" t="str">
        <x:v>Browser policy flow verified US 48E dynamic input and caveats; automated catalog coverage now checks all exposed scheme metadata and input bounds.</x:v>
      </x:c>
      <x:c r="K25" s="3" t="str">
        <x:v>2026-06-23</x:v>
      </x:c>
      <x:c r="L25" s="3" t="str">
        <x:v>policyMode must map to POLICY_SCHEMES or legacy alias; policy input values are clamped by definitions.</x:v>
      </x:c>
      <x:c r="M25" s="3" t="str">
        <x:v>js/policy-model.js; js/app.js renderPolicyInputs; js/app-ui-state.js dynamic visibility.</x:v>
      </x:c>
      <x:c r="N25" s="3" t="str">
        <x:v>Only one named scheme is modeled at a time except custom mixed support.</x:v>
      </x:c>
      <x:c r="O25" s="3" t="str">
        <x:v>js/policy-model.js; browser policy execution log; tests/calculations policy catalog tests.</x:v>
      </x:c>
    </x:row>
    <x:row r="26" ht="69" customHeight="1">
      <x:c r="A26" s="3" t="str">
        <x:v>F-025</x:v>
      </x:c>
      <x:c r="B26" s="3" t="str">
        <x:v>Policy Cash-Flow Evaluation and Legacy Migration</x:v>
      </x:c>
      <x:c r="C26" s="3" t="str">
        <x:v>As a user with older links, I want legacy policy modes to map into current schemes and cash flows consistently.</x:v>
      </x:c>
      <x:c r="D26" s="3" t="str">
        <x:v>Legacy policy aliases normalize into current policyMode/input state. Policy evaluation computes upfront support, annual support, output metrics, duration, and capex allocation where applicable.</x:v>
      </x:c>
      <x:c r="E26" s="3" t="str">
        <x:v>No policy; 45Y versus 48E exclusivity; 45V/45Q output dependence; EU/UK CfD negative support; framework-only informational modes.</x:v>
      </x:c>
      <x:c r="F26" s="3" t="str">
        <x:v>TC-025</x:v>
      </x:c>
      <x:c r="G26" s="3" t="str">
        <x:v>Passed</x:v>
      </x:c>
      <x:c r="H26" s="3" t="n">
        <x:v>0</x:v>
      </x:c>
      <x:c r="I26" s="3" t="str">
        <x:v>None</x:v>
      </x:c>
      <x:c r="J26" s="3" t="str">
        <x:v>Automated tests cover legacy migration, 48E, 45Y, CfD, no-policy timeline behavior, and finite economics outputs for every exposed policy scheme.</x:v>
      </x:c>
      <x:c r="K26" s="3" t="str">
        <x:v>2026-06-23</x:v>
      </x:c>
      <x:c r="L26" s="3" t="str">
        <x:v>Policy result must reconcile to cash-flow timeline and economics breakdown; legacy payloads should not crash.</x:v>
      </x:c>
      <x:c r="M26" s="3" t="str">
        <x:v>js/policy-model.js; js/calculations/calculations-economics.js; js/state-schema.js.</x:v>
      </x:c>
      <x:c r="N26" s="3" t="str">
        <x:v>Policy model is deterministic TEA simplification and not legal/tax advice.</x:v>
      </x:c>
      <x:c r="O26" s="3" t="str">
        <x:v>tests/calculations policy tests and catalog-wide policy economics tests.</x:v>
      </x:c>
    </x:row>
    <x:row r="27" ht="69" customHeight="1">
      <x:c r="A27" s="3" t="str">
        <x:v>F-026</x:v>
      </x:c>
      <x:c r="B27" s="3" t="str">
        <x:v>Project Economics Controls</x:v>
      </x:c>
      <x:c r="C27" s="3" t="str">
        <x:v>As a user, I want asset life, analysis horizon, and discount rate controls so project NPV/IRR/payback reflect my evaluation window.</x:v>
      </x:c>
      <x:c r="D27" s="3" t="str">
        <x:v>Solar asset life, analysis horizon, and discount rate update capital recovery, replacement schedule, NPV, IRR, payback, and economics charts. Debt term is capped by horizon.</x:v>
      </x:c>
      <x:c r="E27" s="3" t="str">
        <x:v>Short horizon; replacement cycles near boundary; multiple IRR roots; no real IRR root.</x:v>
      </x:c>
      <x:c r="F27" s="3" t="str">
        <x:v>TC-026</x:v>
      </x:c>
      <x:c r="G27" s="3" t="str">
        <x:v>Passed</x:v>
      </x:c>
      <x:c r="H27" s="3" t="n">
        <x:v>0</x:v>
      </x:c>
      <x:c r="I27" s="3" t="str">
        <x:v>None</x:v>
      </x:c>
      <x:c r="J27" s="3" t="str">
        <x:v>Automated tests cover IRR root selection, cash-flow timelines, replacement schedule, and payback variants.</x:v>
      </x:c>
      <x:c r="K27" s="3" t="str">
        <x:v>2026-06-23</x:v>
      </x:c>
      <x:c r="L27" s="3" t="str">
        <x:v>analysisHorizonYears clamps 3 to 30; discountRate clamps 0 to 20; IRR solver selects largest positive/economically relevant root.</x:v>
      </x:c>
      <x:c r="M27" s="3" t="str">
        <x:v>js/calculations/calculations-economics.js; js/calculations/calculations-core.js; js/app-controls.js.</x:v>
      </x:c>
      <x:c r="N27" s="3" t="str">
        <x:v>Annual cash flows are year-end except close/upfront support bucket.</x:v>
      </x:c>
      <x:c r="O27" s="3" t="str">
        <x:v>tests/calculations economics tests.</x:v>
      </x:c>
    </x:row>
    <x:row r="28" ht="69" customHeight="1">
      <x:c r="A28" s="3" t="str">
        <x:v>F-027</x:v>
      </x:c>
      <x:c r="B28" s="3" t="str">
        <x:v>Debt Financing Workflow</x:v>
      </x:c>
      <x:c r="C28" s="3" t="str">
        <x:v>As a user, I want to enable debt financing and see equity IRR alongside unlevered project returns.</x:v>
      </x:c>
      <x:c r="D28" s="3" t="str">
        <x:v>Debt toggle opens debt assumptions, changes headline label to Equity IRR, calculates debt-funded upfront CAPEX, level debt service, sponsor support where needed, DSCR, equity IRR, and equity payback.</x:v>
      </x:c>
      <x:c r="E28" s="3" t="str">
        <x:v>Zero interest; debt term beyond horizon; debt service exceeds operating cash; disabled debt returns unlevered headline.</x:v>
      </x:c>
      <x:c r="F28" s="3" t="str">
        <x:v>TC-027</x:v>
      </x:c>
      <x:c r="G28" s="3" t="str">
        <x:v>Passed</x:v>
      </x:c>
      <x:c r="H28" s="3" t="n">
        <x:v>0</x:v>
      </x:c>
      <x:c r="I28" s="3" t="str">
        <x:v>None</x:v>
      </x:c>
      <x:c r="J28" s="3" t="str">
        <x:v>Browser financing flow verified active config and equity IRR header; automated debt schedule tests passed.</x:v>
      </x:c>
      <x:c r="K28" s="3" t="str">
        <x:v>2026-06-23</x:v>
      </x:c>
      <x:c r="L28" s="3" t="str">
        <x:v>Debt share 0 to 90; interest 0 to 15; term capped by analysis horizon; upfront fee 0 to 5.</x:v>
      </x:c>
      <x:c r="M28" s="3" t="str">
        <x:v>js/app-controls.js financing toggle; js/app-renderers.js financing headline; calculations-economics/core debt schedule.</x:v>
      </x:c>
      <x:c r="N28" s="3" t="str">
        <x:v>Debt funds upfront CAPEX only and does not refinance replacements.</x:v>
      </x:c>
      <x:c r="O28" s="3" t="str">
        <x:v>tests/calculations financing tests; browser financing execution log.</x:v>
      </x:c>
    </x:row>
    <x:row r="29" ht="69" customHeight="1">
      <x:c r="A29" s="3" t="str">
        <x:v>F-028</x:v>
      </x:c>
      <x:c r="B29" s="3" t="str">
        <x:v>Maintenance and Operations Controls</x:v>
      </x:c>
      <x:c r="C29" s="3" t="str">
        <x:v>As a user, I want annual O&amp;M controls by equipment category so operating costs reflect site assumptions.</x:v>
      </x:c>
      <x:c r="D29" s="3" t="str">
        <x:v>Solar, process, battery, and active exploratory M&amp;O percentages feed annual O&amp;M, levelized cost, annual profit, and economics breakdown.</x:v>
      </x:c>
      <x:c r="E29" s="3" t="str">
        <x:v>Exploratory O&amp;M hidden with no output; battery disabled; land/site prep excluded; high O&amp;M making negative cash flow.</x:v>
      </x:c>
      <x:c r="F29" s="3" t="str">
        <x:v>TC-028</x:v>
      </x:c>
      <x:c r="G29" s="3" t="str">
        <x:v>Passed</x:v>
      </x:c>
      <x:c r="H29" s="3" t="n">
        <x:v>0</x:v>
      </x:c>
      <x:c r="I29" s="3" t="str">
        <x:v>None</x:v>
      </x:c>
      <x:c r="J29" s="3" t="str">
        <x:v>MTG browser flow verified exploratory O&amp;M visibility; economics automated tests cover O&amp;M effects through cash flows.</x:v>
      </x:c>
      <x:c r="K29" s="3" t="str">
        <x:v>2026-06-23</x:v>
      </x:c>
      <x:c r="L29" s="3" t="str">
        <x:v>O&amp;M percentage controls are clamped by slider ranges and applied to installed CAPEX categories only.</x:v>
      </x:c>
      <x:c r="M29" s="3" t="str">
        <x:v>js/app-controls.js M&amp;O range binding; js/calculations/calculations-economics.js.</x:v>
      </x:c>
      <x:c r="N29" s="3" t="str">
        <x:v>O&amp;M is modeled as fixed percent of CAPEX and excludes variable feedstock costs.</x:v>
      </x:c>
      <x:c r="O29" s="3" t="str">
        <x:v>js/app-controls.js M&amp;O; tests/calculations exploratory economics.</x:v>
      </x:c>
    </x:row>
    <x:row r="30" ht="69" customHeight="1">
      <x:c r="A30" s="3" t="str">
        <x:v>F-029</x:v>
      </x:c>
      <x:c r="B30" s="3" t="str">
        <x:v>Calculation Normalization, Validation, and Dependency Enforcement</x:v>
      </x:c>
      <x:c r="C30" s="3" t="str">
        <x:v>As a user, I want invalid or incomplete inputs to be normalized before calculations so the app does not produce impossible or crashing states.</x:v>
      </x:c>
      <x:c r="D30" s="3" t="str">
        <x:v>Calc.normalizeState clamps values, applies defaults, derives batteryEnabled, normalizes legacy policy modes, and enforceModuleDependencies enables upstream modules required by downstream routes.</x:v>
      </x:c>
      <x:c r="E30" s="3" t="str">
        <x:v>NaN/undefined values; off-range numeric values; downstream-only links; unsupported hash version; saved snapshot from older state shape.</x:v>
      </x:c>
      <x:c r="F30" s="3" t="str">
        <x:v>TC-029</x:v>
      </x:c>
      <x:c r="G30" s="3" t="str">
        <x:v>Passed</x:v>
      </x:c>
      <x:c r="H30" s="3" t="n">
        <x:v>0</x:v>
      </x:c>
      <x:c r="I30" s="3" t="str">
        <x:v>None</x:v>
      </x:c>
      <x:c r="J30" s="3" t="str">
        <x:v>Automated tests cover invalid input normalization and dependency auto-enable.</x:v>
      </x:c>
      <x:c r="K30" s="3" t="str">
        <x:v>2026-06-23</x:v>
      </x:c>
      <x:c r="L30" s="3" t="str">
        <x:v>All calculations call normalized state before use; module dependencies are catalog-driven.</x:v>
      </x:c>
      <x:c r="M30" s="3" t="str">
        <x:v>js/state-schema.js; js/calculations/calculations-core.js; js/module-catalog.js.</x:v>
      </x:c>
      <x:c r="N30" s="3" t="str">
        <x:v>UI number fields may temporarily display user text while editing, but calculation state is normalized before model execution.</x:v>
      </x:c>
      <x:c r="O30" s="3" t="str">
        <x:v>tests/calculations invalid inputs and dependency tests.</x:v>
      </x:c>
    </x:row>
    <x:row r="31" ht="69" customHeight="1">
      <x:c r="A31" s="3" t="str">
        <x:v>F-030</x:v>
      </x:c>
      <x:c r="B31" s="3" t="str">
        <x:v>Header Viability and Project Score</x:v>
      </x:c>
      <x:c r="C31" s="3" t="str">
        <x:v>As a user, I want fast quality signals for scenario viability and score drivers.</x:v>
      </x:c>
      <x:c r="D31" s="3" t="str">
        <x:v>Header status is Viable when NPV is positive and payback is within horizon, Marginal when NPV or final cumulative cash is positive, otherwise Not viable. Project Score combines ROI, payback, utilization, feed balance, and design-rate badges.</x:v>
      </x:c>
      <x:c r="E31" s="3" t="str">
        <x:v>Levered headline switch; negative IRR; no payback; high ROI but low utilization; financed case with sponsor support.</x:v>
      </x:c>
      <x:c r="F31" s="3" t="str">
        <x:v>TC-030</x:v>
      </x:c>
      <x:c r="G31" s="3" t="str">
        <x:v>Passed</x:v>
      </x:c>
      <x:c r="H31" s="3" t="n">
        <x:v>0</x:v>
      </x:c>
      <x:c r="I31" s="3" t="str">
        <x:v>None</x:v>
      </x:c>
      <x:c r="J31" s="3" t="str">
        <x:v>Browser screenshots and flows verified header metrics and project score updates.</x:v>
      </x:c>
      <x:c r="K31" s="3" t="str">
        <x:v>2026-06-23</x:v>
      </x:c>
      <x:c r="L31" s="3" t="str">
        <x:v>Viability uses project NPV/payback, not equity-only values; score is clamped 0 to 100.</x:v>
      </x:c>
      <x:c r="M31" s="3" t="str">
        <x:v>js/app-renderers.js updateHeaderMetrics/updatePlantScore; calculations-economics.</x:v>
      </x:c>
      <x:c r="N31" s="3" t="str">
        <x:v>Score is a heuristic for user triage, not a formal credit/investment rating.</x:v>
      </x:c>
      <x:c r="O31" s="3" t="str">
        <x:v>js/app-renderers.js; browser desktop/mobile screenshots.</x:v>
      </x:c>
    </x:row>
    <x:row r="32" ht="69" customHeight="1">
      <x:c r="A32" s="3" t="str">
        <x:v>F-031</x:v>
      </x:c>
      <x:c r="B32" s="3" t="str">
        <x:v>Process Diagram Rendering</x:v>
      </x:c>
      <x:c r="C32" s="3" t="str">
        <x:v>As a user, I want a system diagram showing how solar, storage, AI, and process modules connect.</x:v>
      </x:c>
      <x:c r="D32" s="3" t="str">
        <x:v>Diagram renders SVG cards and connectors from calculated results, including average/peak power and material flow labels. Cards appear for active supported and exploratory modules.</x:v>
      </x:c>
      <x:c r="E32" s="3" t="str">
        <x:v>Narrow layout; AI-first dispatch; exploratory modules with electricity-only or feedstock inputs; no downstream products.</x:v>
      </x:c>
      <x:c r="F32" s="3" t="str">
        <x:v>TC-031</x:v>
      </x:c>
      <x:c r="G32" s="3" t="str">
        <x:v>Passed</x:v>
      </x:c>
      <x:c r="H32" s="3" t="n">
        <x:v>0</x:v>
      </x:c>
      <x:c r="I32" s="3" t="str">
        <x:v>None</x:v>
      </x:c>
      <x:c r="J32" s="3" t="str">
        <x:v>Desktop and dist browser checks verified SVG; automated diagram formatting test passed.</x:v>
      </x:c>
      <x:c r="K32" s="3" t="str">
        <x:v>2026-06-23</x:v>
      </x:c>
      <x:c r="L32" s="3" t="str">
        <x:v>Diagram.render receives buildDiagramDisplayResults output; labels use formatted peak and average magnitudes.</x:v>
      </x:c>
      <x:c r="M32" s="3" t="str">
        <x:v>js/diagram.js; js/app-renderers.js updateDiagram; style.css diagram classes.</x:v>
      </x:c>
      <x:c r="N32" s="3" t="str">
        <x:v>Diagram is explanatory and not a PFD/P&amp;ID.</x:v>
      </x:c>
      <x:c r="O32" s="3" t="str">
        <x:v>tests/renderers/diagram.test.js; browser render checks.</x:v>
      </x:c>
    </x:row>
    <x:row r="33" ht="69" customHeight="1">
      <x:c r="A33" s="3" t="str">
        <x:v>F-032</x:v>
      </x:c>
      <x:c r="B33" s="3" t="str">
        <x:v>Site Footprint Map</x:v>
      </x:c>
      <x:c r="C33" s="3" t="str">
        <x:v>As a user, I want a map and footprint estimate so I can visualize land impact for Earth sites.</x:v>
      </x:c>
      <x:c r="D33" s="3" t="str">
        <x:v>Earth sites initialize a Leaflet/Esri map with draggable marker, total footprint rectangle, process subblocks, area/side metrics, and click/drag coordinate updates. Non-Earth, missing Leaflet, or failed Esri tiles show empty fallback while footprint metrics continue updating.</x:v>
      </x:c>
      <x:c r="E33" s="3" t="str">
        <x:v>Leaflet unavailable; Esri tile failure; non-Earth body; invalid coordinates; tiny process blocks; marker click suppression after drag.</x:v>
      </x:c>
      <x:c r="F33" s="3" t="str">
        <x:v>TC-032</x:v>
      </x:c>
      <x:c r="G33" s="3" t="str">
        <x:v>Passed after remediation</x:v>
      </x:c>
      <x:c r="H33" s="3" t="n">
        <x:v>1</x:v>
      </x:c>
      <x:c r="I33" s="3" t="str">
        <x:v>Medium (resolved)</x:v>
      </x:c>
      <x:c r="J33" s="3" t="str">
        <x:v>D-005 fixed missing Esri tile-error fallback. Browser verified Earth map and Mars fallback; dist preview rendered map with no console errors; automated site-map fallback tests passed.</x:v>
      </x:c>
      <x:c r="K33" s="3" t="str">
        <x:v>2026-06-23</x:v>
      </x:c>
      <x:c r="L33" s="3" t="str">
        <x:v>Latitude/longitude are clamped/wrapped; map only displays for Earth with valid coords and Leaflet available; tile errors must switch to a visible fallback message.</x:v>
      </x:c>
      <x:c r="M33" s="3" t="str">
        <x:v>Leaflet CDN with visible fallback; Esri tile service with tile-error fallback; js/app-site-map.js; js/calculations solar land/process area outputs.</x:v>
      </x:c>
      <x:c r="N33" s="3" t="str">
        <x:v>Footprint is order-of-magnitude and full satellite imagery depends on external tile availability.</x:v>
      </x:c>
      <x:c r="O33" s="3" t="str">
        <x:v>js/app-site-map.js; tests/renderers/site-map.test.js; browser Earth/Mars/dist checks.</x:v>
      </x:c>
    </x:row>
    <x:row r="34" ht="69" customHeight="1">
      <x:c r="A34" s="3" t="str">
        <x:v>F-033</x:v>
      </x:c>
      <x:c r="B34" s="3" t="str">
        <x:v>Power Profile Chart</x:v>
      </x:c>
      <x:c r="C34" s="3" t="str">
        <x:v>As a user, I want to see representative power allocation over the modeled day or cycle.</x:v>
      </x:c>
      <x:c r="D34" s="3" t="str">
        <x:v>Chart shows solar output, chemical load, AI served, battery charge, and clipped solar where applicable, with notes that vary by AI, battery, specific day, and body.</x:v>
      </x:c>
      <x:c r="E34" s="3" t="str">
        <x:v>Specific-day Earth display; Mars/Moon cycle labels; battery charge series; clipped data alignment; no Chart.js.</x:v>
      </x:c>
      <x:c r="F34" s="3" t="str">
        <x:v>TC-033</x:v>
      </x:c>
      <x:c r="G34" s="3" t="str">
        <x:v>Passed</x:v>
      </x:c>
      <x:c r="H34" s="3" t="n">
        <x:v>0</x:v>
      </x:c>
      <x:c r="I34" s="3" t="str">
        <x:v>None</x:v>
      </x:c>
      <x:c r="J34" s="3" t="str">
        <x:v>Browser notes and canvases rendered in desktop/dist; automated calculation tests cover chart data inputs; chart-runtime fallback tests protect missing Chart.js behavior.</x:v>
      </x:c>
      <x:c r="K34" s="3" t="str">
        <x:v>2026-06-23</x:v>
      </x:c>
      <x:c r="L34" s="3" t="str">
        <x:v>Dataset arrays must align to labels; chart key prevents unnecessary redraw; notes must match displayed mode.</x:v>
      </x:c>
      <x:c r="M34" s="3" t="str">
        <x:v>Chart.js CDN with visible fallback; js/app-charts.js; solar/process/AI dispatch results.</x:v>
      </x:c>
      <x:c r="N34" s="3" t="str">
        <x:v>Full chart rendering requires Chart.js from CDN in browser sessions; unavailable charts now show a fallback message while model results continue updating.</x:v>
      </x:c>
      <x:c r="O34" s="3" t="str">
        <x:v>js/app-charts.js updatePowerChart; tests/renderers/charts.test.js; browser render checks.</x:v>
      </x:c>
    </x:row>
    <x:row r="35" ht="69" customHeight="1">
      <x:c r="A35" s="3" t="str">
        <x:v>F-034</x:v>
      </x:c>
      <x:c r="B35" s="3" t="str">
        <x:v>Annual Dispatch Chart</x:v>
      </x:c>
      <x:c r="C35" s="3" t="str">
        <x:v>As a user, I want a year/cycle dispatch view to understand seasonal production and AI allocation.</x:v>
      </x:c>
      <x:c r="D35" s="3" t="str">
        <x:v>Annual dispatch chart displays solar, AI served, residual chemistry, storage, and clipping series depending on body and mode, with body-specific notes.</x:v>
      </x:c>
      <x:c r="E35" s="3" t="str">
        <x:v>Mars orbital year; Moon representative cycle; AI disabled; empty/finite series checks.</x:v>
      </x:c>
      <x:c r="F35" s="3" t="str">
        <x:v>TC-034</x:v>
      </x:c>
      <x:c r="G35" s="3" t="str">
        <x:v>Passed</x:v>
      </x:c>
      <x:c r="H35" s="3" t="n">
        <x:v>0</x:v>
      </x:c>
      <x:c r="I35" s="3" t="str">
        <x:v>None</x:v>
      </x:c>
      <x:c r="J35" s="3" t="str">
        <x:v>Automated Mars/Moon/AI display-series tests passed; browser default note observed; chart-runtime fallback tests passed.</x:v>
      </x:c>
      <x:c r="K35" s="3" t="str">
        <x:v>2026-06-23</x:v>
      </x:c>
      <x:c r="L35" s="3" t="str">
        <x:v>Display series must be finite and aligned; notes must describe dispatch basis.</x:v>
      </x:c>
      <x:c r="M35" s="3" t="str">
        <x:v>Chart.js CDN with visible fallback; js/app-charts.js; calculations-series-ai; calculations-solar.</x:v>
      </x:c>
      <x:c r="N35" s="3" t="str">
        <x:v>Annual dispatch is representative model output, not measured SCADA data; unavailable charts degrade to visible fallback text.</x:v>
      </x:c>
      <x:c r="O35" s="3" t="str">
        <x:v>tests/calculations off-Earth dispatch tests; tests/renderers/charts.test.js; js/app-charts.js.</x:v>
      </x:c>
    </x:row>
    <x:row r="36" ht="69" customHeight="1">
      <x:c r="A36" s="3" t="str">
        <x:v>F-035</x:v>
      </x:c>
      <x:c r="B36" s="3" t="str">
        <x:v>Economics Timeline Chart</x:v>
      </x:c>
      <x:c r="C36" s="3" t="str">
        <x:v>As a user, I want annual cash flow and cumulative economics over time to understand payback and policy/debt effects.</x:v>
      </x:c>
      <x:c r="D36" s="3" t="str">
        <x:v>Timeline starts at close, includes upfront support, revenue, O&amp;M, debt service/sponsor support where applicable, replacements, and cumulative cash flow with aligned dual-axis zero baselines.</x:v>
      </x:c>
      <x:c r="E36" s="3" t="str">
        <x:v>No policy; upfront grant; debt support; replacement years; negative cash-flow cases.</x:v>
      </x:c>
      <x:c r="F36" s="3" t="str">
        <x:v>TC-035</x:v>
      </x:c>
      <x:c r="G36" s="3" t="str">
        <x:v>Passed</x:v>
      </x:c>
      <x:c r="H36" s="3" t="n">
        <x:v>0</x:v>
      </x:c>
      <x:c r="I36" s="3" t="str">
        <x:v>None</x:v>
      </x:c>
      <x:c r="J36" s="3" t="str">
        <x:v>Automated cash-flow timeline and financing timeline tests passed; browser default chart canvas rendered; chart-runtime fallback tests passed.</x:v>
      </x:c>
      <x:c r="K36" s="3" t="str">
        <x:v>2026-06-23</x:v>
      </x:c>
      <x:c r="L36" s="3" t="str">
        <x:v>Timeline must reconcile to economics calculations and show close bucket for upfront support.</x:v>
      </x:c>
      <x:c r="M36" s="3" t="str">
        <x:v>Chart.js CDN with visible fallback; js/app-charts.js updateEconomicsTimelineChart; calculations-economics cash-flow timeline.</x:v>
      </x:c>
      <x:c r="N36" s="3" t="str">
        <x:v>Chart displays modeled annual buckets and close event, not monthly cash flow; unavailable charts degrade to visible fallback text.</x:v>
      </x:c>
      <x:c r="O36" s="3" t="str">
        <x:v>tests/calculations cash-flow timeline tests; tests/renderers/charts.test.js; js/app-charts.js.</x:v>
      </x:c>
    </x:row>
    <x:row r="37" ht="69" customHeight="1">
      <x:c r="A37" s="3" t="str">
        <x:v>F-036</x:v>
      </x:c>
      <x:c r="B37" s="3" t="str">
        <x:v>CAPEX Doughnut Chart</x:v>
      </x:c>
      <x:c r="C37" s="3" t="str">
        <x:v>As a user, I want a compact CAPEX breakdown visualization to see major cost drivers.</x:v>
      </x:c>
      <x:c r="D37" s="3" t="str">
        <x:v>Doughnut chart displays compacted CAPEX categories and groups tiny segments under Other when many categories exist.</x:v>
      </x:c>
      <x:c r="E37" s="3" t="str">
        <x:v>Many exploratory routes; zero-value categories; compact threshold under 2 percent.</x:v>
      </x:c>
      <x:c r="F37" s="3" t="str">
        <x:v>TC-036</x:v>
      </x:c>
      <x:c r="G37" s="3" t="str">
        <x:v>Passed after remediation</x:v>
      </x:c>
      <x:c r="H37" s="3" t="n">
        <x:v>1</x:v>
      </x:c>
      <x:c r="I37" s="3" t="str">
        <x:v>Medium (resolved)</x:v>
      </x:c>
      <x:c r="J37" s="3" t="str">
        <x:v>D-004 fixed missing Chart.js fallback behavior. Automated CAPEX sum test passed; browser economics panel rendered chart canvas; chart-runtime fallback tests passed.</x:v>
      </x:c>
      <x:c r="K37" s="3" t="str">
        <x:v>2026-06-23</x:v>
      </x:c>
      <x:c r="L37" s="3" t="str">
        <x:v>CAPEX breakdown must sum to reported total; compacting should preserve total value.</x:v>
      </x:c>
      <x:c r="M37" s="3" t="str">
        <x:v>Chart.js CDN with visible fallback; js/app-charts.js compactCapexChartData/updateEconChart; calculations-economics capex breakdown.</x:v>
      </x:c>
      <x:c r="N37" s="3" t="str">
        <x:v>Chart is a visual supplement to numeric economics breakdown; unavailable charts degrade to visible fallback text.</x:v>
      </x:c>
      <x:c r="O37" s="3" t="str">
        <x:v>tests/calculations capex sum; tests/renderers/charts.test.js; js/app-charts.js.</x:v>
      </x:c>
    </x:row>
    <x:row r="38" ht="69" customHeight="1">
      <x:c r="A38" s="3" t="str">
        <x:v>F-037</x:v>
      </x:c>
      <x:c r="B38" s="3" t="str">
        <x:v>Sensitivity Charts</x:v>
      </x:c>
      <x:c r="C38" s="3" t="str">
        <x:v>As a user, I want price sensitivity charts only for outputs that exist in the scenario.</x:v>
      </x:c>
      <x:c r="D38" s="3" t="str">
        <x:v>Methane, methanol, and AI sensitivity cards are hidden unless corresponding output/revenue exists. Active charts run scenario sensitivities across configured price ranges.</x:v>
      </x:c>
      <x:c r="E38" s="3" t="str">
        <x:v>AI-only scenario; methane disabled; methanol consumed by MTG; no active output empty state.</x:v>
      </x:c>
      <x:c r="F38" s="3" t="str">
        <x:v>TC-037</x:v>
      </x:c>
      <x:c r="G38" s="3" t="str">
        <x:v>Passed after remediation</x:v>
      </x:c>
      <x:c r="H38" s="3" t="n">
        <x:v>1</x:v>
      </x:c>
      <x:c r="I38" s="3" t="str">
        <x:v>Medium (resolved)</x:v>
      </x:c>
      <x:c r="J38" s="3" t="str">
        <x:v>D-004 added missing Chart.js guards so active sensitivity cards show fallback text and do not run sweeps when charts cannot render.</x:v>
      </x:c>
      <x:c r="K38" s="3" t="str">
        <x:v>2026-06-23</x:v>
      </x:c>
      <x:c r="L38" s="3" t="str">
        <x:v>Sensitivity charts should only render active outputs; calculations should reuse normalized state and not mutate base state.</x:v>
      </x:c>
      <x:c r="M38" s="3" t="str">
        <x:v>Chart.js CDN with visible fallback; js/app-charts.js updateSensitivityChart; Calc.runSensitivity.</x:v>
      </x:c>
      <x:c r="N38" s="3" t="str">
        <x:v>Sensitivity is one-variable-at-a-time around the active scenario; unavailable charts should not run sensitivity sweeps.</x:v>
      </x:c>
      <x:c r="O38" s="3" t="str">
        <x:v>tests/renderers/charts.test.js; js/app-charts.js sensitivity methods; calculations core sensitivity.</x:v>
      </x:c>
    </x:row>
    <x:row r="39" ht="69" customHeight="1">
      <x:c r="A39" s="3" t="str">
        <x:v>F-038</x:v>
      </x:c>
      <x:c r="B39" s="3" t="str">
        <x:v>Production Summary</x:v>
      </x:c>
      <x:c r="C39" s="3" t="str">
        <x:v>As a user, I want a concise production grid showing annual/daily outputs and unused feedstocks.</x:v>
      </x:c>
      <x:c r="D39" s="3" t="str">
        <x:v>Production grid lists solar electricity, AI tokens when enabled, H2, CO2 captured, methane, methanol export, exploratory output, unused H2, and CO2 surplus only when relevant.</x:v>
      </x:c>
      <x:c r="E39" s="3" t="str">
        <x:v>Disabled rows omitted; AI scenario focuses on AI output; MTG reduces methanol export; very small daily exploratory output formats as 0.0 with annual context in economics.</x:v>
      </x:c>
      <x:c r="F39" s="3" t="str">
        <x:v>TC-038</x:v>
      </x:c>
      <x:c r="G39" s="3" t="str">
        <x:v>Passed</x:v>
      </x:c>
      <x:c r="H39" s="3" t="n">
        <x:v>0</x:v>
      </x:c>
      <x:c r="I39" s="3" t="str">
        <x:v>None</x:v>
      </x:c>
      <x:c r="J39" s="3" t="str">
        <x:v>Renderer tests and browser default/AI/MTG/mobile checks passed.</x:v>
      </x:c>
      <x:c r="K39" s="3" t="str">
        <x:v>2026-06-23</x:v>
      </x:c>
      <x:c r="L39" s="3" t="str">
        <x:v>Rows must match enabled modules and positive output thresholds; labels use correct units.</x:v>
      </x:c>
      <x:c r="M39" s="3" t="str">
        <x:v>js/app-renderers.js updateProduction/prodItem; calculation result objects.</x:v>
      </x:c>
      <x:c r="N39" s="3" t="str">
        <x:v>Daily rates are representative cycle/day values as defined by the active body.</x:v>
      </x:c>
      <x:c r="O39" s="3" t="str">
        <x:v>tests/renderers/production.test.js; browser flows.</x:v>
      </x:c>
    </x:row>
    <x:row r="40" ht="69" customHeight="1">
      <x:c r="A40" s="3" t="str">
        <x:v>F-039</x:v>
      </x:c>
      <x:c r="B40" s="3" t="str">
        <x:v>Economics Breakdown</x:v>
      </x:c>
      <x:c r="C40" s="3" t="str">
        <x:v>As a user, I want detailed economics cards for CAPEX, revenue, costs, policy, financing, and unit economics.</x:v>
      </x:c>
      <x:c r="D40" s="3" t="str">
        <x:v>Economics panel groups summary metrics, project returns, cost breakdown, revenue breakdown, financing details, unit economics, policy context, feed surplus, and active routes.</x:v>
      </x:c>
      <x:c r="E40" s="3" t="str">
        <x:v>Financed versus unlevered; policy disabled; exploratory modules enabled; negative annual profit; no payback.</x:v>
      </x:c>
      <x:c r="F40" s="3" t="str">
        <x:v>TC-039</x:v>
      </x:c>
      <x:c r="G40" s="3" t="str">
        <x:v>Passed</x:v>
      </x:c>
      <x:c r="H40" s="3" t="n">
        <x:v>0</x:v>
      </x:c>
      <x:c r="I40" s="3" t="str">
        <x:v>None</x:v>
      </x:c>
      <x:c r="J40" s="3" t="str">
        <x:v>Browser policy/financing/MTG flows verified relevant economics sections; tooltip renderer test passed.</x:v>
      </x:c>
      <x:c r="K40" s="3" t="str">
        <x:v>2026-06-23</x:v>
      </x:c>
      <x:c r="L40" s="3" t="str">
        <x:v>Breakdown values must reconcile to calculation outputs and use custom data-tooltip attributes where labels need explanations.</x:v>
      </x:c>
      <x:c r="M40" s="3" t="str">
        <x:v>js/app-renderers.js updateEconomics; calculations-economics; policy-model.</x:v>
      </x:c>
      <x:c r="N40" s="3" t="str">
        <x:v>Economics are deterministic from current inputs and do not include stochastic uncertainty.</x:v>
      </x:c>
      <x:c r="O40" s="3" t="str">
        <x:v>tests/renderers/production.test.js economics tooltip; browser flows.</x:v>
      </x:c>
    </x:row>
    <x:row r="41" ht="69" customHeight="1">
      <x:c r="A41" s="3" t="str">
        <x:v>F-040</x:v>
      </x:c>
      <x:c r="B41" s="3" t="str">
        <x:v>Environmental Impact Summary</x:v>
      </x:c>
      <x:c r="C41" s="3" t="str">
        <x:v>As a user, I want high-level impact metrics for CO2, land, and water.</x:v>
      </x:c>
      <x:c r="D41" s="3" t="str">
        <x:v>Impact grid shows CO2 captured, CO2 displaced, land use, water recycled, and net water needed from calculation outputs.</x:v>
      </x:c>
      <x:c r="E41" s="3" t="str">
        <x:v>No DAC; no product route; off-Earth land/solar assumptions; hidden mobile panel still has values.</x:v>
      </x:c>
      <x:c r="F41" s="3" t="str">
        <x:v>TC-040</x:v>
      </x:c>
      <x:c r="G41" s="3" t="str">
        <x:v>Passed</x:v>
      </x:c>
      <x:c r="H41" s="3" t="n">
        <x:v>0</x:v>
      </x:c>
      <x:c r="I41" s="3" t="str">
        <x:v>None</x:v>
      </x:c>
      <x:c r="J41" s="3" t="str">
        <x:v>Browser render checks verified impact grid content; calculations tests cover underlying output availability.</x:v>
      </x:c>
      <x:c r="K41" s="3" t="str">
        <x:v>2026-06-23</x:v>
      </x:c>
      <x:c r="L41" s="3" t="str">
        <x:v>Impact rows should reflect calculation outputs and not render stale values after scenario changes.</x:v>
      </x:c>
      <x:c r="M41" s="3" t="str">
        <x:v>js/app-renderers.js updateImpact; calculations-economics environmental outputs.</x:v>
      </x:c>
      <x:c r="N41" s="3" t="str">
        <x:v>Impact metrics are simplified model outputs and not a full LCA.</x:v>
      </x:c>
      <x:c r="O41" s="3" t="str">
        <x:v>js/app-renderers.js updateImpact; browser desktop check.</x:v>
      </x:c>
    </x:row>
    <x:row r="42" ht="69" customHeight="1">
      <x:c r="A42" s="3" t="str">
        <x:v>F-041</x:v>
      </x:c>
      <x:c r="B42" s="3" t="str">
        <x:v>Build and Deploy Asset Packaging</x:v>
      </x:c>
      <x:c r="C42" s="3" t="str">
        <x:v>As a maintainer, I want a production dist folder with versioned app assets and no local development artifacts.</x:v>
      </x:c>
      <x:c r="D42" s="3" t="str">
        <x:v>Build deletes and rebuilds dist, copies app assets plus lz-string, excludes dev/test/runtime metadata, replaces __APP_BUILD_ID__, and versions local CSS/JS URLs.</x:v>
      </x:c>
      <x:c r="E42" s="3" t="str">
        <x:v>Untracked local directories; .DS_Store files; generated outputs; package metadata; hidden agent configuration; git unavailable build ID fallback.</x:v>
      </x:c>
      <x:c r="F42" s="3" t="str">
        <x:v>TC-041</x:v>
      </x:c>
      <x:c r="G42" s="3" t="str">
        <x:v>Passed after remediation</x:v>
      </x:c>
      <x:c r="H42" s="3" t="n">
        <x:v>1</x:v>
      </x:c>
      <x:c r="I42" s="3" t="str">
        <x:v>High (resolved)</x:v>
      </x:c>
      <x:c r="J42" s="3" t="str">
        <x:v>D-001 fixed by excluding local agent/tooling dirs, outputs, .DS_Store, and NOTES.md; rebuild, dist preview, and automated build-regression test passed.</x:v>
      </x:c>
      <x:c r="K42" s="3" t="str">
        <x:v>2026-06-23</x:v>
      </x:c>
      <x:c r="L42" s="3" t="str">
        <x:v>dist must not include .git, .claude, .codex, .agents, node_modules except explicit lz-string file, outputs, scripts, tests, package files, .DS_Store, or NOTES.md.</x:v>
      </x:c>
      <x:c r="M42" s="3" t="str">
        <x:v>scripts/build.mjs; package.json build script; dist preview server.</x:v>
      </x:c>
      <x:c r="N42" s="3" t="str">
        <x:v>Production host serves dist only.</x:v>
      </x:c>
      <x:c r="O42" s="3" t="str">
        <x:v>scripts/build.mjs; tests/build/build.test.js; npm run build; dist file-tree validation.</x:v>
      </x:c>
    </x:row>
    <x:row r="43" ht="69" customHeight="1">
      <x:c r="A43" s="3" t="str">
        <x:v>F-042</x:v>
      </x:c>
      <x:c r="B43" s="3" t="str">
        <x:v>Static Development and Preview Server</x:v>
      </x:c>
      <x:c r="C43" s="3" t="str">
        <x:v>As a maintainer, I want a simple static server for local app and dist preview validation.</x:v>
      </x:c>
      <x:c r="D43" s="3" t="str">
        <x:v>Server serves requested files from root or dist, maps known MIME types, returns 404 for missing files, prevents root escape, and uses no-store cache headers.</x:v>
      </x:c>
      <x:c r="E43" s="3" t="str">
        <x:v>Missing root; directory requests; encoded traversal attempts; unknown extension; port permission failure in sandbox.</x:v>
      </x:c>
      <x:c r="F43" s="3" t="str">
        <x:v>TC-042</x:v>
      </x:c>
      <x:c r="G43" s="3" t="str">
        <x:v>Passed after remediation</x:v>
      </x:c>
      <x:c r="H43" s="3" t="n">
        <x:v>1</x:v>
      </x:c>
      <x:c r="I43" s="3" t="str">
        <x:v>Medium (resolved)</x:v>
      </x:c>
      <x:c r="J43" s="3" t="str">
        <x:v>D-002 fixed malformed percent-encoded URL handling and added automated static-server path/response tests.</x:v>
      </x:c>
      <x:c r="K43" s="3" t="str">
        <x:v>2026-06-23</x:v>
      </x:c>
      <x:c r="L43" s="3" t="str">
        <x:v>Resolved candidate path must stay inside ROOT using path-relative containment; malformed percent encoding returns 400; missing file returns 404; localhost probes require network permission in sandbox.</x:v>
      </x:c>
      <x:c r="M43" s="3" t="str">
        <x:v>scripts/dev.mjs; package.json dev/preview scripts; Node http/fs/path.</x:v>
      </x:c>
      <x:c r="N43" s="3" t="str">
        <x:v>Dev server is for local validation, not hardened production hosting.</x:v>
      </x:c>
      <x:c r="O43" s="3" t="str">
        <x:v>scripts/dev.mjs; tests/server/dev-server.test.js; localhost fetch execution log.</x:v>
      </x:c>
    </x:row>
    <x:row r="44" ht="69" customHeight="1">
      <x:c r="A44" s="3" t="str">
        <x:v>F-043</x:v>
      </x:c>
      <x:c r="B44" s="3" t="str">
        <x:v>Calculation Runtime and Optimizer Worker Bootstrap</x:v>
      </x:c>
      <x:c r="C44" s="3" t="str">
        <x:v>As a maintainer, I want calculation and worker paths to work both in source and built dist.</x:v>
      </x:c>
      <x:c r="D44" s="3" t="str">
        <x:v>App references local calculation scripts, optimizer worker, and calculation runtime paths correctly from source and built asset URLs. Worker bootstrap assets receive build query strings when the build token is replaced.</x:v>
      </x:c>
      <x:c r="E44" s="3" t="str">
        <x:v>Dist asset version query strings; Worker unavailable; Worker import failure; relative paths under dist; fallback optimizer path.</x:v>
      </x:c>
      <x:c r="F44" s="3" t="str">
        <x:v>TC-043</x:v>
      </x:c>
      <x:c r="G44" s="3" t="str">
        <x:v>Passed</x:v>
      </x:c>
      <x:c r="H44" s="3" t="n">
        <x:v>0</x:v>
      </x:c>
      <x:c r="I44" s="3" t="str">
        <x:v>None</x:v>
      </x:c>
      <x:c r="J44" s="3" t="str">
        <x:v>Dist preview loaded with 27 versioned assets and no browser errors; automated optimizer bootstrap tests now cover build-versioned paths, Worker construction fallback, Worker error rejection, and postMessage cleanup.</x:v>
      </x:c>
      <x:c r="K44" s="3" t="str">
        <x:v>2026-06-23</x:v>
      </x:c>
      <x:c r="L44" s="3" t="str">
        <x:v>Build versions local JS/CSS URLs, AssetPaths appends build IDs to worker paths, failed Worker paths fall back to main-thread calculation, and dist preview loads app without console errors.</x:v>
      </x:c>
      <x:c r="M44" s="3" t="str">
        <x:v>js/calculation-runtime-paths.js; js/optimizer-worker.js; scripts/build.mjs; js/asset-paths.js.</x:v>
      </x:c>
      <x:c r="N44" s="3" t="str">
        <x:v>Workers are same-origin with the served app.</x:v>
      </x:c>
      <x:c r="O44" s="3" t="str">
        <x:v>dist preview browser check; tests/calculations optimizer tests; tests/renderers/optimizer.test.js.</x:v>
      </x:c>
    </x:row>
    <x:row r="45" ht="69" customHeight="1">
      <x:c r="A45" s="3" t="str">
        <x:v>F-044</x:v>
      </x:c>
      <x:c r="B45" s="3" t="str">
        <x:v>Formatting and Number Display</x:v>
      </x:c>
      <x:c r="C45" s="3" t="str">
        <x:v>As a user, I want values formatted consistently across currency, mass, power, percentages, and compact magnitudes.</x:v>
      </x:c>
      <x:c r="D45" s="3" t="str">
        <x:v>FormatNumbers helpers and renderer methods format K/M/B values, fixed decimals, units, payback, IRR, and process flow magnitudes consistently.</x:v>
      </x:c>
      <x:c r="E45" s="3" t="str">
        <x:v>Negative values; zero/near-zero output; large token counts; very small exploratory outputs; no payback.</x:v>
      </x:c>
      <x:c r="F45" s="3" t="str">
        <x:v>TC-044</x:v>
      </x:c>
      <x:c r="G45" s="3" t="str">
        <x:v>Passed</x:v>
      </x:c>
      <x:c r="H45" s="3" t="n">
        <x:v>0</x:v>
      </x:c>
      <x:c r="I45" s="3" t="str">
        <x:v>None</x:v>
      </x:c>
      <x:c r="J45" s="3" t="str">
        <x:v>Browser screenshots and renderer tests verified main number displays.</x:v>
      </x:c>
      <x:c r="K45" s="3" t="str">
        <x:v>2026-06-23</x:v>
      </x:c>
      <x:c r="L45" s="3" t="str">
        <x:v>Renderer tests assert custom labels and diagram flow formatting; all visible metrics should include units.</x:v>
      </x:c>
      <x:c r="M45" s="3" t="str">
        <x:v>js/format-numbers.js; js/app-renderers.js; js/diagram.js.</x:v>
      </x:c>
      <x:c r="N45" s="3" t="str">
        <x:v>Locale display is intentionally fixed English/US-style for the app.</x:v>
      </x:c>
      <x:c r="O45" s="3" t="str">
        <x:v>tests/renderers; js/format-numbers.js.</x:v>
      </x:c>
    </x:row>
    <x:row r="46" ht="69" customHeight="1">
      <x:c r="A46" s="3" t="str">
        <x:v>F-045</x:v>
      </x:c>
      <x:c r="B46" s="3" t="str">
        <x:v>External Dependencies and Public Links</x:v>
      </x:c>
      <x:c r="C46" s="3" t="str">
        <x:v>As a user, I want charts, maps, sharing, and source links to load through the dependencies declared by the app.</x:v>
      </x:c>
      <x:c r="D46" s="3" t="str">
        <x:v>Chart.js and Leaflet load from public CDNs, Esri tiles render for Earth maps, lz-string loads locally for hash sharing, chart/map dependencies degrade with visible fallback states when unavailable, and external reference links open in new tabs with noopener noreferrer.</x:v>
      </x:c>
      <x:c r="E46" s="3" t="str">
        <x:v>Offline or blocked CDN/tile network; missing local lz-string file; hash parsing without LZString; external link navigation; Chart.js absent after CDN failure; Leaflet loaded but Esri tiles unavailable.</x:v>
      </x:c>
      <x:c r="F46" s="3" t="str">
        <x:v>TC-045</x:v>
      </x:c>
      <x:c r="G46" s="3" t="str">
        <x:v>Passed after remediation</x:v>
      </x:c>
      <x:c r="H46" s="3" t="n">
        <x:v>2</x:v>
      </x:c>
      <x:c r="I46" s="3" t="str">
        <x:v>Medium (resolved)</x:v>
      </x:c>
      <x:c r="J46" s="3" t="str">
        <x:v>D-004 fixed missing Chart.js fallback behavior and D-005 fixed missing Esri tile-error fallback. Desktop and dist browser checks rendered map/charts and logged no errors; lz-string is copied by build script; chart/map fallback tests passed.</x:v>
      </x:c>
      <x:c r="K46" s="3" t="str">
        <x:v>2026-06-23</x:v>
      </x:c>
      <x:c r="L46" s="3" t="str">
        <x:v>Browser sessions should have no console errors; build must include local lz-string; external links use target=_blank and rel noopener noreferrer; chart methods must not throw when Chart.js is unavailable; map tile errors must show visible fallback.</x:v>
      </x:c>
      <x:c r="M46" s="3" t="str">
        <x:v>Chart.js CDN, Leaflet CDN/CSS, Esri tiles, local node_modules/lz-string copied into dist, PVGIS/Global Solar Atlas links.</x:v>
      </x:c>
      <x:c r="N46" s="3" t="str">
        <x:v>Production users need network access to CDN/map providers for full interactive visuals unless the app is later bundled for offline use.</x:v>
      </x:c>
      <x:c r="O46" s="3" t="str">
        <x:v>index.html external script/link tags; tests/renderers/charts.test.js; tests/renderers/site-map.test.js; browser render checks; scripts/build.mjs EXTRA_COPY_FILES.</x:v>
      </x:c>
    </x:row>
  </x:sheetData>
  <x:pageMargins left="0.7" right="0.7" top="0.75" bottom="0.75" header="0.3" footer="0.3"/>
  <x:tableParts count="1">
    <x:tablePart xmlns:r="http://schemas.openxmlformats.org/officeDocument/2006/relationships" r:id="Re4f77d28defa448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9.4399995803833" hidden="0" customWidth="1"/>
    <x:col min="3" max="3" width="24.440000534057617" hidden="0" customWidth="1"/>
    <x:col min="4" max="4" width="21.110000610351562" hidden="0" customWidth="1"/>
    <x:col min="5" max="5" width="33.33000183105469" hidden="0" customWidth="1"/>
    <x:col min="6" max="6" width="47.779998779296875" hidden="0" customWidth="1"/>
    <x:col min="7" max="7" width="47.779998779296875" hidden="0" customWidth="1"/>
    <x:col min="8" max="8" width="26.670000076293945" hidden="0" customWidth="1"/>
    <x:col min="9" max="9" width="15.5600004196167" hidden="0" customWidth="1"/>
    <x:col min="10" max="10" width="33.33000183105469" hidden="0" customWidth="1"/>
    <x:col min="11" max="11" width="10" hidden="0" customWidth="1"/>
    <x:col min="12" max="12" width="12.220000267028809" hidden="0" customWidth="1"/>
  </x:cols>
  <x:sheetData>
    <x:row r="1" ht="25.5" customHeight="1">
      <x:c r="A1" s="5" t="str">
        <x:v>Test ID</x:v>
      </x:c>
      <x:c r="B1" s="5" t="str">
        <x:v>Feature ID</x:v>
      </x:c>
      <x:c r="C1" s="5" t="str">
        <x:v>Feature Name</x:v>
      </x:c>
      <x:c r="D1" s="5" t="str">
        <x:v>Scenario Type</x:v>
      </x:c>
      <x:c r="E1" s="5" t="str">
        <x:v>Test Case</x:v>
      </x:c>
      <x:c r="F1" s="5" t="str">
        <x:v>Steps</x:v>
      </x:c>
      <x:c r="G1" s="5" t="str">
        <x:v>Expected Result</x:v>
      </x:c>
      <x:c r="H1" s="5" t="str">
        <x:v>Execution Method</x:v>
      </x:c>
      <x:c r="I1" s="5" t="str">
        <x:v>Status</x:v>
      </x:c>
      <x:c r="J1" s="5" t="str">
        <x:v>Actual Result</x:v>
      </x:c>
      <x:c r="K1" s="5" t="str">
        <x:v>Defect ID</x:v>
      </x:c>
      <x:c r="L1" s="5" t="str">
        <x:v>Last Tested Date</x:v>
      </x:c>
    </x:row>
    <x:row r="2" ht="69" customHeight="1">
      <x:c r="A2" s="3" t="str">
        <x:v>TC-001</x:v>
      </x:c>
      <x:c r="B2" s="3" t="str">
        <x:v>F-001</x:v>
      </x:c>
      <x:c r="C2" s="3" t="str">
        <x:v>App Shell, Header Metrics, and Reset</x:v>
      </x:c>
      <x:c r="D2" s="3" t="str">
        <x:v>Happy/Error/State</x:v>
      </x:c>
      <x:c r="E2" s="3" t="str">
        <x:v>Header and reset suite</x:v>
      </x:c>
      <x:c r="F2" s="3" t="str">
        <x:v>Load default app, verify header metrics, switch to a non-default scenario, click Reset, verify default controls, metrics, and empty hash.</x:v>
      </x:c>
      <x:c r="G2" s="3" t="str">
        <x:v>The single page app renders the title, subtitle, CAPEX, annual revenue, payback, IRR/equity IRR, and viability status. Reset restores default state, clears the share hash, syncs controls, recalculates, and shows "Reset to defaults".</x:v>
      </x:c>
      <x:c r="H2" s="3" t="str">
        <x:v>Browser manual plus automated render checks</x:v>
      </x:c>
      <x:c r="I2" s="3" t="str">
        <x:v>Passed</x:v>
      </x:c>
      <x:c r="J2" s="3" t="str">
        <x:v>Reset restored defaults, header metrics returned to baseline, and hash cleared.</x:v>
      </x:c>
      <x:c r="K2" s="3" t="str"/>
      <x:c r="L2" s="3" t="str">
        <x:v>2026-06-23</x:v>
      </x:c>
    </x:row>
    <x:row r="3" ht="69" customHeight="1">
      <x:c r="A3" s="3" t="str">
        <x:v>TC-002</x:v>
      </x:c>
      <x:c r="B3" s="3" t="str">
        <x:v>F-002</x:v>
      </x:c>
      <x:c r="C3" s="3" t="str">
        <x:v>Mobile Pane Navigation</x:v>
      </x:c>
      <x:c r="D3" s="3" t="str">
        <x:v>Responsive/Accessibility</x:v>
      </x:c>
      <x:c r="E3" s="3" t="str">
        <x:v>Mobile pane suite</x:v>
      </x:c>
      <x:c r="F3" s="3" t="str">
        <x:v>Set viewport to 390x844, verify initial Overview pane, click Inputs and Results buttons, inspect display, aria-expanded, and aria-hidden.</x:v>
      </x:c>
      <x:c r="G3" s="3" t="str">
        <x:v>At mobile breakpoints only one main panel is displayed at a time. Pane buttons update active styling, aria-expanded, panel aria-hidden, and Escape returns to Overview.</x:v>
      </x:c>
      <x:c r="H3" s="3" t="str">
        <x:v>Browser responsive execution</x:v>
      </x:c>
      <x:c r="I3" s="3" t="str">
        <x:v>Passed</x:v>
      </x:c>
      <x:c r="J3" s="3" t="str">
        <x:v>Only the active pane displayed and ARIA states matched the selected pane.</x:v>
      </x:c>
      <x:c r="K3" s="3" t="str"/>
      <x:c r="L3" s="3" t="str">
        <x:v>2026-06-23</x:v>
      </x:c>
    </x:row>
    <x:row r="4" ht="69" customHeight="1">
      <x:c r="A4" s="3" t="str">
        <x:v>TC-003</x:v>
      </x:c>
      <x:c r="B4" s="3" t="str">
        <x:v>F-003</x:v>
      </x:c>
      <x:c r="C4" s="3" t="str">
        <x:v>Collapsible Configuration and Result Sections</x:v>
      </x:c>
      <x:c r="D4" s="3" t="str">
        <x:v>UX/State/Accessibility</x:v>
      </x:c>
      <x:c r="E4" s="3" t="str">
        <x:v>Accordion section suite</x:v>
      </x:c>
      <x:c r="F4" s="3" t="str">
        <x:v>Inspect section toggle binding, verify initialized button semantics and panel relationships, activate sections by click, Enter, and Space, and confirm hidden body state stays synchronized.</x:v>
      </x:c>
      <x:c r="G4" s="3" t="str">
        <x:v>Clicking or keyboard-activating a section header toggles the open class on its containing section. Headers expose button semantics, aria-expanded, and aria-controls. Open sections show body content and collapsed sections are hidden from assistive technology.</x:v>
      </x:c>
      <x:c r="H4" s="3" t="str">
        <x:v>Automated section-toggle tests plus code audit and browser workflow observation</x:v>
      </x:c>
      <x:c r="I4" s="3" t="str">
        <x:v>Passed after remediation</x:v>
      </x:c>
      <x:c r="J4" s="3" t="str">
        <x:v>Open sections displayed content, collapsed bodies were hidden from assistive technology, and headers now expose keyboard-operable expanded/collapsed state.</x:v>
      </x:c>
      <x:c r="K4" s="3" t="str">
        <x:v>D-008</x:v>
      </x:c>
      <x:c r="L4" s="3" t="str">
        <x:v>2026-06-23</x:v>
      </x:c>
    </x:row>
    <x:row r="5" ht="69" customHeight="1">
      <x:c r="A5" s="3" t="str">
        <x:v>TC-004</x:v>
      </x:c>
      <x:c r="B5" s="3" t="str">
        <x:v>F-004</x:v>
      </x:c>
      <x:c r="C5" s="3" t="str">
        <x:v>Hover and Focus Tooltips</x:v>
      </x:c>
      <x:c r="D5" s="3" t="str">
        <x:v>Accessibility/UX</x:v>
      </x:c>
      <x:c r="E5" s="3" t="str">
        <x:v>Tooltip suite</x:v>
      </x:c>
      <x:c r="F5" s="3" t="str">
        <x:v>Verify renderer uses data-tooltip attributes and inspect tooltip event handlers for hover/focus/scroll/resize.</x:v>
      </x:c>
      <x:c r="G5" s="3" t="str">
        <x:v>Elements with data-tooltip show a shared tooltip on hover or focus, update position on resize/scroll, and hide on mouseout/focusout.</x:v>
      </x:c>
      <x:c r="H5" s="3" t="str">
        <x:v>Automated renderer test plus code audit</x:v>
      </x:c>
      <x:c r="I5" s="3" t="str">
        <x:v>Passed</x:v>
      </x:c>
      <x:c r="J5" s="3" t="str">
        <x:v>Custom tooltip attributes were present and no native title regression was found.</x:v>
      </x:c>
      <x:c r="K5" s="3" t="str"/>
      <x:c r="L5" s="3" t="str">
        <x:v>2026-06-23</x:v>
      </x:c>
    </x:row>
    <x:row r="6" ht="69" customHeight="1">
      <x:c r="A6" s="3" t="str">
        <x:v>TC-005</x:v>
      </x:c>
      <x:c r="B6" s="3" t="str">
        <x:v>F-005</x:v>
      </x:c>
      <x:c r="C6" s="3" t="str">
        <x:v>Slider Guide Markers and Log Ticks</x:v>
      </x:c>
      <x:c r="D6" s="3" t="str">
        <x:v>Boundary/UX</x:v>
      </x:c>
      <x:c r="E6" s="3" t="str">
        <x:v>Slider marker suite</x:v>
      </x:c>
      <x:c r="F6" s="3" t="str">
        <x:v>Inspect generated marker buttons and log ticks; verify marker definitions are range-bound and clickable through input dispatch.</x:v>
      </x:c>
      <x:c r="G6" s="3" t="str">
        <x:v>Configured sliders render clickable marker buttons with aria labels/tooltips. Log-scale sliders render visual tick marks.</x:v>
      </x:c>
      <x:c r="H6" s="3" t="str">
        <x:v>Code audit plus browser control inventory</x:v>
      </x:c>
      <x:c r="I6" s="3" t="str">
        <x:v>Passed</x:v>
      </x:c>
      <x:c r="J6" s="3" t="str">
        <x:v>Marker buttons rendered with tooltips/aria labels for configured sliders.</x:v>
      </x:c>
      <x:c r="K6" s="3" t="str"/>
      <x:c r="L6" s="3" t="str">
        <x:v>2026-06-23</x:v>
      </x:c>
    </x:row>
    <x:row r="7" ht="69" customHeight="1">
      <x:c r="A7" s="3" t="str">
        <x:v>TC-006</x:v>
      </x:c>
      <x:c r="B7" s="3" t="str">
        <x:v>F-006</x:v>
      </x:c>
      <x:c r="C7" s="3" t="str">
        <x:v>Analysis Cycle and Specific-Day View</x:v>
      </x:c>
      <x:c r="D7" s="3" t="str">
        <x:v>Happy/Boundary/Accessibility</x:v>
      </x:c>
      <x:c r="E7" s="3" t="str">
        <x:v>Specific-day suite</x:v>
      </x:c>
      <x:c r="F7" s="3" t="str">
        <x:v>Run automated day-mode tests, verify Mars/non-Earth fallback disables Specific Day, verify aria-pressed/aria-disabled/hidden state, and enforce static button contracts for day controls.</x:v>
      </x:c>
      <x:c r="G7" s="3" t="str">
        <x:v>Annual Average is default. Specific Day is available for Earth and updates chart display/day metadata only. The mode buttons expose aria-pressed state and the Specific Day detail controls are hidden from assistive technology unless active. Non-AI annual economics and sizing remain tied to annual yield.</x:v>
      </x:c>
      <x:c r="H7" s="3" t="str">
        <x:v>Automated tests plus browser Mars flow plus tests/ui/html-contract.test.js and tests/ui/day-mode.test.js</x:v>
      </x:c>
      <x:c r="I7" s="3" t="str">
        <x:v>Passed after remediation</x:v>
      </x:c>
      <x:c r="J7" s="3" t="str">
        <x:v>Specific-day display did not alter annual non-AI economics, non-Earth disabled the mode, day controls declare type="button", and Analysis Cycle toggle state is exposed to assistive technology.</x:v>
      </x:c>
      <x:c r="K7" s="3" t="str">
        <x:v>D-003; D-009</x:v>
      </x:c>
      <x:c r="L7" s="3" t="str">
        <x:v>2026-06-23</x:v>
      </x:c>
    </x:row>
    <x:row r="8" ht="69" customHeight="1">
      <x:c r="A8" s="3" t="str">
        <x:v>TC-007</x:v>
      </x:c>
      <x:c r="B8" s="3" t="str">
        <x:v>F-007</x:v>
      </x:c>
      <x:c r="C8" s="3" t="str">
        <x:v>Planetary Mode Handling</x:v>
      </x:c>
      <x:c r="D8" s="3" t="str">
        <x:v>Cross-body/Boundary</x:v>
      </x:c>
      <x:c r="E8" s="3" t="str">
        <x:v>Planetary mode suite</x:v>
      </x:c>
      <x:c r="F8" s="3" t="str">
        <x:v>Select Mars preset in browser and run off-Earth automated dispatch tests.</x:v>
      </x:c>
      <x:c r="G8" s="3" t="str">
        <x:v>Location presets set body/profile/yield/coordinates. Mars and Moon use local-cycle labels, disable Earth specific-day controls, and show map fallback when satellite imagery is unavailable.</x:v>
      </x:c>
      <x:c r="H8" s="3" t="str">
        <x:v>Browser workflow plus automated tests</x:v>
      </x:c>
      <x:c r="I8" s="3" t="str">
        <x:v>Passed</x:v>
      </x:c>
      <x:c r="J8" s="3" t="str">
        <x:v>Mars labels, map fallback, disabled Specific Day, and recalculated metrics matched implementation.</x:v>
      </x:c>
      <x:c r="K8" s="3" t="str"/>
      <x:c r="L8" s="3" t="str">
        <x:v>2026-06-23</x:v>
      </x:c>
    </x:row>
    <x:row r="9" ht="69" customHeight="1">
      <x:c r="A9" s="3" t="str">
        <x:v>TC-008</x:v>
      </x:c>
      <x:c r="B9" s="3" t="str">
        <x:v>F-008</x:v>
      </x:c>
      <x:c r="C9" s="3" t="str">
        <x:v>Location Presets and Manual Site Inputs</x:v>
      </x:c>
      <x:c r="D9" s="3" t="str">
        <x:v>Happy/Invalid input</x:v>
      </x:c>
      <x:c r="E9" s="3" t="str">
        <x:v>Site preset and manual input suite</x:v>
      </x:c>
      <x:c r="F9" s="3" t="str">
        <x:v>Select preset in browser and rely on automated invalid-input normalization for out-of-range state values.</x:v>
      </x:c>
      <x:c r="G9" s="3" t="str">
        <x:v>Preset selection fills body, solar profile, latitude, longitude, yield, and source. Manual edits mark the site custom and, for Earth non-manual yield, estimate GHI and annual yield from coordinates.</x:v>
      </x:c>
      <x:c r="H9" s="3" t="str">
        <x:v>Browser workflow plus automated tests</x:v>
      </x:c>
      <x:c r="I9" s="3" t="str">
        <x:v>Passed</x:v>
      </x:c>
      <x:c r="J9" s="3" t="str">
        <x:v>Preset values populated and calculation inputs normalize before model execution.</x:v>
      </x:c>
      <x:c r="K9" s="3" t="str"/>
      <x:c r="L9" s="3" t="str">
        <x:v>2026-06-23</x:v>
      </x:c>
    </x:row>
    <x:row r="10" ht="69" customHeight="1">
      <x:c r="A10" s="3" t="str">
        <x:v>TC-009</x:v>
      </x:c>
      <x:c r="B10" s="3" t="str">
        <x:v>F-009</x:v>
      </x:c>
      <x:c r="C10" s="3" t="str">
        <x:v>Saved Site Presets and Site Snapshots</x:v>
      </x:c>
      <x:c r="D10" s="3" t="str">
        <x:v>Happy/Error/Persistence</x:v>
      </x:c>
      <x:c r="E10" s="3" t="str">
        <x:v>Saved-site suite</x:v>
      </x:c>
      <x:c r="F10" s="3" t="str">
        <x:v>Switch to Custom location, save QA Browser Site, verify selected saved option, remove it, and run persistence tests.</x:v>
      </x:c>
      <x:c r="G10" s="3" t="str">
        <x:v>Custom sites expose a save name input. Save creates a localStorage preset and selects it. Saved options use s:&lt;id&gt; values. Remove deletes the preset and stored app state, returns to Custom location, and exposes save controls again.</x:v>
      </x:c>
      <x:c r="H10" s="3" t="str">
        <x:v>Browser workflow plus automated tests</x:v>
      </x:c>
      <x:c r="I10" s="3" t="str">
        <x:v>Passed</x:v>
      </x:c>
      <x:c r="J10" s="3" t="str">
        <x:v>Saved site appeared, selected, and removed with no leftover visible option.</x:v>
      </x:c>
      <x:c r="K10" s="3" t="str"/>
      <x:c r="L10" s="3" t="str">
        <x:v>2026-06-23</x:v>
      </x:c>
    </x:row>
    <x:row r="11" ht="69" customHeight="1">
      <x:c r="A11" s="3" t="str">
        <x:v>TC-010</x:v>
      </x:c>
      <x:c r="B11" s="3" t="str">
        <x:v>F-010</x:v>
      </x:c>
      <x:c r="C11" s="3" t="str">
        <x:v>Shareable URL State</x:v>
      </x:c>
      <x:c r="D11" s="3" t="str">
        <x:v>Happy/Error/Security</x:v>
      </x:c>
      <x:c r="E11" s="3" t="str">
        <x:v>Share hash suite</x:v>
      </x:c>
      <x:c r="F11" s="3" t="str">
        <x:v>Exercise non-default hash through browser flows and run hash parser round-trip/rejection tests.</x:v>
      </x:c>
      <x:c r="G11" s="3" t="str">
        <x:v>The app reads #s= compressed state on load/hashchange, applies supported version 1 diffs, rejects invalid payloads with feedback, and writes only non-default normalized state back to the URL hash.</x:v>
      </x:c>
      <x:c r="H11" s="3" t="str">
        <x:v>Browser workflow plus automated tests</x:v>
      </x:c>
      <x:c r="I11" s="3" t="str">
        <x:v>Passed</x:v>
      </x:c>
      <x:c r="J11" s="3" t="str">
        <x:v>Non-default state encoded; reset cleared hash; unsupported versions are rejected.</x:v>
      </x:c>
      <x:c r="K11" s="3" t="str"/>
      <x:c r="L11" s="3" t="str">
        <x:v>2026-06-23</x:v>
      </x:c>
    </x:row>
    <x:row r="12" ht="69" customHeight="1">
      <x:c r="A12" s="3" t="str">
        <x:v>TC-011</x:v>
      </x:c>
      <x:c r="B12" s="3" t="str">
        <x:v>F-011</x:v>
      </x:c>
      <x:c r="C12" s="3" t="str">
        <x:v>Solar Array Configuration</x:v>
      </x:c>
      <x:c r="D12" s="3" t="str">
        <x:v>Happy/Boundary/Calculation</x:v>
      </x:c>
      <x:c r="E12" s="3" t="str">
        <x:v>Solar array suite</x:v>
      </x:c>
      <x:c r="F12" s="3" t="str">
        <x:v>Run solar calculation tests for land, BOS, yield, CAPEX, and LCOE response.</x:v>
      </x:c>
      <x:c r="G12" s="3" t="str">
        <x:v>Solar controls update annual production, capacity factor, land/panel area, solar CAPEX, and LCOE. Mounting type changes shape and resets BOS to the mounting default.</x:v>
      </x:c>
      <x:c r="H12" s="3" t="str">
        <x:v>Automated tests</x:v>
      </x:c>
      <x:c r="I12" s="3" t="str">
        <x:v>Passed</x:v>
      </x:c>
      <x:c r="J12" s="3" t="str">
        <x:v>Solar calculations remained finite and reconciled to CAPEX totals.</x:v>
      </x:c>
      <x:c r="K12" s="3" t="str"/>
      <x:c r="L12" s="3" t="str">
        <x:v>2026-06-23</x:v>
      </x:c>
    </x:row>
    <x:row r="13" ht="69" customHeight="1">
      <x:c r="A13" s="3" t="str">
        <x:v>TC-012</x:v>
      </x:c>
      <x:c r="B13" s="3" t="str">
        <x:v>F-012</x:v>
      </x:c>
      <x:c r="C13" s="3" t="str">
        <x:v>Battery Storage Firming</x:v>
      </x:c>
      <x:c r="D13" s="3" t="str">
        <x:v>Boundary/Performance</x:v>
      </x:c>
      <x:c r="E13" s="3" t="str">
        <x:v>Battery dispatch suite</x:v>
      </x:c>
      <x:c r="F13" s="3" t="str">
        <x:v>Run storage tests for zero/tiny battery, buffered LCOE, clipping, leakage, and AI storage cases.</x:v>
      </x:c>
      <x:c r="G13" s="3" t="str">
        <x:v>Battery controls update effective capacity factor, daily hours, buffered LCOE, battery CAPEX/O&amp;M, clipping, charge/discharge, and replacement schedule.</x:v>
      </x:c>
      <x:c r="H13" s="3" t="str">
        <x:v>Automated tests</x:v>
      </x:c>
      <x:c r="I13" s="3" t="str">
        <x:v>Passed</x:v>
      </x:c>
      <x:c r="J13" s="3" t="str">
        <x:v>Battery sizing, cost, and dispatch matched expected implementation.</x:v>
      </x:c>
      <x:c r="K13" s="3" t="str"/>
      <x:c r="L13" s="3" t="str">
        <x:v>2026-06-23</x:v>
      </x:c>
    </x:row>
    <x:row r="14" ht="69" customHeight="1">
      <x:c r="A14" s="3" t="str">
        <x:v>TC-013</x:v>
      </x:c>
      <x:c r="B14" s="3" t="str">
        <x:v>F-013</x:v>
      </x:c>
      <x:c r="C14" s="3" t="str">
        <x:v>Chemical Peak Sizing and Clipping</x:v>
      </x:c>
      <x:c r="D14" s="3" t="str">
        <x:v>Boundary/Invalid input</x:v>
      </x:c>
      <x:c r="E14" s="3" t="str">
        <x:v>Chemical sizing suite</x:v>
      </x:c>
      <x:c r="F14" s="3" t="str">
        <x:v>Run no-battery and battery-backed undersizing tests and inspect browser chart notes.</x:v>
      </x:c>
      <x:c r="G14" s="3" t="str">
        <x:v>Chemical sizing percent caps process nameplate. Charts and notes show clipped solar when the cap binds. Full-capture reference is preserved for comparison.</x:v>
      </x:c>
      <x:c r="H14" s="3" t="str">
        <x:v>Automated tests plus browser observation</x:v>
      </x:c>
      <x:c r="I14" s="3" t="str">
        <x:v>Passed</x:v>
      </x:c>
      <x:c r="J14" s="3" t="str">
        <x:v>Clipping behavior and full-capture reference were preserved.</x:v>
      </x:c>
      <x:c r="K14" s="3" t="str"/>
      <x:c r="L14" s="3" t="str">
        <x:v>2026-06-23</x:v>
      </x:c>
    </x:row>
    <x:row r="15" ht="69" customHeight="1">
      <x:c r="A15" s="3" t="str">
        <x:v>TC-014</x:v>
      </x:c>
      <x:c r="B15" s="3" t="str">
        <x:v>F-014</x:v>
      </x:c>
      <x:c r="C15" s="3" t="str">
        <x:v>Load Configuration Tabs</x:v>
      </x:c>
      <x:c r="D15" s="3" t="str">
        <x:v>Accessibility/State/Keyboard</x:v>
      </x:c>
      <x:c r="E15" s="3" t="str">
        <x:v>Load tab suite</x:v>
      </x:c>
      <x:c r="F15" s="3" t="str">
        <x:v>Verify static tablist markup, runtime selected/hidden panel state, roving tabindex, Arrow navigation, Home, End, and state preservation when switching Chemical / AI Compute panels.</x:v>
      </x:c>
      <x:c r="G15" s="3" t="str">
        <x:v>Chemical and AI tabs update active classes, aria-selected, roving tabindex, panel hidden/aria-hidden state, and visible load-config panels without losing state. Arrow, Home, and End keys move focus/selection across the tablist.</x:v>
      </x:c>
      <x:c r="H15" s="3" t="str">
        <x:v>Automated static and runtime UI tests plus browser AI workflow evidence</x:v>
      </x:c>
      <x:c r="I15" s="3" t="str">
        <x:v>Passed after remediation</x:v>
      </x:c>
      <x:c r="J15" s="3" t="str">
        <x:v>Load tabs expose complete tablist relationships, keyboard navigation changes state and focus, and inactive panels are hidden from assistive technology.</x:v>
      </x:c>
      <x:c r="K15" s="3" t="str">
        <x:v>D-007</x:v>
      </x:c>
      <x:c r="L15" s="3" t="str">
        <x:v>2026-06-23</x:v>
      </x:c>
    </x:row>
    <x:row r="16" ht="69" customHeight="1">
      <x:c r="A16" s="3" t="str">
        <x:v>TC-015</x:v>
      </x:c>
      <x:c r="B16" s="3" t="str">
        <x:v>F-015</x:v>
      </x:c>
      <x:c r="C16" s="3" t="str">
        <x:v>Supported Process Modules</x:v>
      </x:c>
      <x:c r="D16" s="3" t="str">
        <x:v>Happy/Error/Dependency</x:v>
      </x:c>
      <x:c r="E16" s="3" t="str">
        <x:v>Supported module suite</x:v>
      </x:c>
      <x:c r="F16" s="3" t="str">
        <x:v>Run module catalog, dependency, and renderer omission tests.</x:v>
      </x:c>
      <x:c r="G16" s="3" t="str">
        <x:v>Supported modules render from ModuleCatalog, expose toggles and config controls, calculate CAPEX, output, revenue, feed surplus, and diagram cards when active.</x:v>
      </x:c>
      <x:c r="H16" s="3" t="str">
        <x:v>Automated tests</x:v>
      </x:c>
      <x:c r="I16" s="3" t="str">
        <x:v>Passed</x:v>
      </x:c>
      <x:c r="J16" s="3" t="str">
        <x:v>Supported modules and dependencies matched catalog definitions.</x:v>
      </x:c>
      <x:c r="K16" s="3" t="str"/>
      <x:c r="L16" s="3" t="str">
        <x:v>2026-06-23</x:v>
      </x:c>
    </x:row>
    <x:row r="17" ht="69" customHeight="1">
      <x:c r="A17" s="3" t="str">
        <x:v>TC-016</x:v>
      </x:c>
      <x:c r="B17" s="3" t="str">
        <x:v>F-016</x:v>
      </x:c>
      <x:c r="C17" s="3" t="str">
        <x:v>Module Presets, Custom Values, and Asset Life</x:v>
      </x:c>
      <x:c r="D17" s="3" t="str">
        <x:v>Boundary/Configuration</x:v>
      </x:c>
      <x:c r="E17" s="3" t="str">
        <x:v>Module preset suite</x:v>
      </x:c>
      <x:c r="F17" s="3" t="str">
        <x:v>Run preset mapping and custom-detection tests.</x:v>
      </x:c>
      <x:c r="G17" s="3" t="str">
        <x:v>Preset selection updates paired module config values and selects Custom when values no longer match a preset. Module asset life contributes to replacement schedule.</x:v>
      </x:c>
      <x:c r="H17" s="3" t="str">
        <x:v>Automated tests</x:v>
      </x:c>
      <x:c r="I17" s="3" t="str">
        <x:v>Passed</x:v>
      </x:c>
      <x:c r="J17" s="3" t="str">
        <x:v>Preset changes updated paired values and custom mixes were detected.</x:v>
      </x:c>
      <x:c r="K17" s="3" t="str"/>
      <x:c r="L17" s="3" t="str">
        <x:v>2026-06-23</x:v>
      </x:c>
    </x:row>
    <x:row r="18" ht="69" customHeight="1">
      <x:c r="A18" s="3" t="str">
        <x:v>TC-017</x:v>
      </x:c>
      <x:c r="B18" s="3" t="str">
        <x:v>F-017</x:v>
      </x:c>
      <x:c r="C18" s="3" t="str">
        <x:v>Methane and Methanol Feedstock Split</x:v>
      </x:c>
      <x:c r="D18" s="3" t="str">
        <x:v>Happy/Boundary/Optimization</x:v>
      </x:c>
      <x:c r="E18" s="3" t="str">
        <x:v>Feedstock split suite</x:v>
      </x:c>
      <x:c r="F18" s="3" t="str">
        <x:v>Enable downstream combination through MTG flow and inspect shared feedstock control.</x:v>
      </x:c>
      <x:c r="G18" s="3" t="str">
        <x:v>When methane and methanol are active, the product mix control appears, adjusts H2/CO2 allocation, and the optimizer can find a split with better IRR.</x:v>
      </x:c>
      <x:c r="H18" s="3" t="str">
        <x:v>Browser workflow plus code audit</x:v>
      </x:c>
      <x:c r="I18" s="3" t="str">
        <x:v>Passed</x:v>
      </x:c>
      <x:c r="J18" s="3" t="str">
        <x:v>Shared split control appeared when methane and methanol were active.</x:v>
      </x:c>
      <x:c r="K18" s="3" t="str"/>
      <x:c r="L18" s="3" t="str">
        <x:v>2026-06-23</x:v>
      </x:c>
    </x:row>
    <x:row r="19" ht="69" customHeight="1">
      <x:c r="A19" s="3" t="str">
        <x:v>TC-018</x:v>
      </x:c>
      <x:c r="B19" s="3" t="str">
        <x:v>F-018</x:v>
      </x:c>
      <x:c r="C19" s="3" t="str">
        <x:v>Feed Buffer Controls</x:v>
      </x:c>
      <x:c r="D19" s="3" t="str">
        <x:v>Boundary/Dependency</x:v>
      </x:c>
      <x:c r="E19" s="3" t="str">
        <x:v>Feed-buffer suite</x:v>
      </x:c>
      <x:c r="F19" s="3" t="str">
        <x:v>Run buffer-capable module tests for Sabatier, methanol, CO, and MTG.</x:v>
      </x:c>
      <x:c r="G19" s="3" t="str">
        <x:v>Buffer-capable modules default buffers on. Buffers preserve annual output while sizing affected equipment from peak-day average gas or methanol flow.</x:v>
      </x:c>
      <x:c r="H19" s="3" t="str">
        <x:v>Automated tests</x:v>
      </x:c>
      <x:c r="I19" s="3" t="str">
        <x:v>Passed</x:v>
      </x:c>
      <x:c r="J19" s="3" t="str">
        <x:v>Buffers preserved output while changing peak sizing basis.</x:v>
      </x:c>
      <x:c r="K19" s="3" t="str"/>
      <x:c r="L19" s="3" t="str">
        <x:v>2026-06-23</x:v>
      </x:c>
    </x:row>
    <x:row r="20" ht="69" customHeight="1">
      <x:c r="A20" s="3" t="str">
        <x:v>TC-019</x:v>
      </x:c>
      <x:c r="B20" s="3" t="str">
        <x:v>F-019</x:v>
      </x:c>
      <x:c r="C20" s="3" t="str">
        <x:v>Exploratory Module Catalog and Routes</x:v>
      </x:c>
      <x:c r="D20" s="3" t="str">
        <x:v>Happy/Boundary</x:v>
      </x:c>
      <x:c r="E20" s="3" t="str">
        <x:v>Exploratory route suite</x:v>
      </x:c>
      <x:c r="F20" s="3" t="str">
        <x:v>Run exploratory route, CAPEX, market, and output tests.</x:v>
      </x:c>
      <x:c r="G20" s="3" t="str">
        <x:v>Exploratory modules render from catalog, expose route/priority/CAPEX controls, calculate rough output and economics when enabled, and list missing assumptions/context.</x:v>
      </x:c>
      <x:c r="H20" s="3" t="str">
        <x:v>Automated tests</x:v>
      </x:c>
      <x:c r="I20" s="3" t="str">
        <x:v>Passed</x:v>
      </x:c>
      <x:c r="J20" s="3" t="str">
        <x:v>Multiple exploratory routes produced distinct outputs and economics.</x:v>
      </x:c>
      <x:c r="K20" s="3" t="str"/>
      <x:c r="L20" s="3" t="str">
        <x:v>2026-06-23</x:v>
      </x:c>
    </x:row>
    <x:row r="21" ht="69" customHeight="1">
      <x:c r="A21" s="3" t="str">
        <x:v>TC-020</x:v>
      </x:c>
      <x:c r="B21" s="3" t="str">
        <x:v>F-020</x:v>
      </x:c>
      <x:c r="C21" s="3" t="str">
        <x:v>MTG Methanol Diversion Workflow</x:v>
      </x:c>
      <x:c r="D21" s="3" t="str">
        <x:v>Happy/Dependency</x:v>
      </x:c>
      <x:c r="E21" s="3" t="str">
        <x:v>MTG route suite</x:v>
      </x:c>
      <x:c r="F21" s="3" t="str">
        <x:v>Enable MTG in browser and run MTG process tests.</x:v>
      </x:c>
      <x:c r="G21" s="3" t="str">
        <x:v>Enabling MTG auto-enables methanol and dependencies. The methanol diversion control appears when MTG and methanol are active. Methanol export is reduced by MTG consumption and hydrocarbons appear in production/economics.</x:v>
      </x:c>
      <x:c r="H21" s="3" t="str">
        <x:v>Browser workflow plus automated tests</x:v>
      </x:c>
      <x:c r="I21" s="3" t="str">
        <x:v>Passed</x:v>
      </x:c>
      <x:c r="J21" s="3" t="str">
        <x:v>MTG auto-enabled upstream dependencies and displayed exploratory output/economics.</x:v>
      </x:c>
      <x:c r="K21" s="3" t="str"/>
      <x:c r="L21" s="3" t="str">
        <x:v>2026-06-23</x:v>
      </x:c>
    </x:row>
    <x:row r="22" ht="69" customHeight="1">
      <x:c r="A22" s="3" t="str">
        <x:v>TC-021</x:v>
      </x:c>
      <x:c r="B22" s="3" t="str">
        <x:v>F-021</x:v>
      </x:c>
      <x:c r="C22" s="3" t="str">
        <x:v>AI Datacenter Mode</x:v>
      </x:c>
      <x:c r="D22" s="3" t="str">
        <x:v>Happy/Boundary/Performance</x:v>
      </x:c>
      <x:c r="E22" s="3" t="str">
        <x:v>AI compute suite</x:v>
      </x:c>
      <x:c r="F22" s="3" t="str">
        <x:v>Enable AI in browser and run AI reliability/storage/off-Earth automated tests.</x:v>
      </x:c>
      <x:c r="G22" s="3" t="str">
        <x:v>AI Compute tab enables reliability target, GPU CAPEX, token price, throughput, and AI asset life controls. AI load is auto-sized for reliability, production adds AI tokens, economics include AI revenue/CAPEX, and residual chemistry updates.</x:v>
      </x:c>
      <x:c r="H22" s="3" t="str">
        <x:v>Browser workflow plus automated tests</x:v>
      </x:c>
      <x:c r="I22" s="3" t="str">
        <x:v>Passed</x:v>
      </x:c>
      <x:c r="J22" s="3" t="str">
        <x:v>AI tokens appeared and reliability dispatch calculations passed.</x:v>
      </x:c>
      <x:c r="K22" s="3" t="str"/>
      <x:c r="L22" s="3" t="str">
        <x:v>2026-06-23</x:v>
      </x:c>
    </x:row>
    <x:row r="23" ht="69" customHeight="1">
      <x:c r="A23" s="3" t="str">
        <x:v>TC-022</x:v>
      </x:c>
      <x:c r="B23" s="3" t="str">
        <x:v>F-022</x:v>
      </x:c>
      <x:c r="C23" s="3" t="str">
        <x:v>Inline IRR Optimizers</x:v>
      </x:c>
      <x:c r="D23" s="3" t="str">
        <x:v>Performance/Boundary/Error</x:v>
      </x:c>
      <x:c r="E23" s="3" t="str">
        <x:v>Optimizer suite</x:v>
      </x:c>
      <x:c r="F23" s="3" t="str">
        <x:v>Run optimizer progress, lean IRR parity, Worker fallback, Worker error cleanup, postMessage cleanup, and build-versioned asset path tests.</x:v>
      </x:c>
      <x:c r="G23" s="3" t="str">
        <x:v>Optimizer buttons run battery, chemical sizing, or methane feedstock split sweeps. Worker is used when available, with main-thread fallback. Progress text/aria updates and the best finite improvement is applied.</x:v>
      </x:c>
      <x:c r="H23" s="3" t="str">
        <x:v>Automated tests</x:v>
      </x:c>
      <x:c r="I23" s="3" t="str">
        <x:v>Passed after remediation</x:v>
      </x:c>
      <x:c r="J23" s="3" t="str">
        <x:v>Optimizer progress was monotonic, lean/full calculations matched, Worker failures fall back or reject cleanly, and stale request bookkeeping is removed.</x:v>
      </x:c>
      <x:c r="K23" s="3" t="str">
        <x:v>D-006</x:v>
      </x:c>
      <x:c r="L23" s="3" t="str">
        <x:v>2026-06-23</x:v>
      </x:c>
    </x:row>
    <x:row r="24" ht="69" customHeight="1">
      <x:c r="A24" s="3" t="str">
        <x:v>TC-023</x:v>
      </x:c>
      <x:c r="B24" s="3" t="str">
        <x:v>F-023</x:v>
      </x:c>
      <x:c r="C24" s="3" t="str">
        <x:v>Product Market Controls</x:v>
      </x:c>
      <x:c r="D24" s="3" t="str">
        <x:v>Happy/Boundary</x:v>
      </x:c>
      <x:c r="E24" s="3" t="str">
        <x:v>Market control suite</x:v>
      </x:c>
      <x:c r="F24" s="3" t="str">
        <x:v>Enable MTG and inspect exploratory market controls; run custom price economics tests.</x:v>
      </x:c>
      <x:c r="G24" s="3" t="str">
        <x:v>Methane market preset updates methane price. Methanol price control appears when methanol output exists. Exploratory market controls appear only for enabled modules with output and catalog market definitions.</x:v>
      </x:c>
      <x:c r="H24" s="3" t="str">
        <x:v>Browser workflow plus automated tests</x:v>
      </x:c>
      <x:c r="I24" s="3" t="str">
        <x:v>Passed</x:v>
      </x:c>
      <x:c r="J24" s="3" t="str">
        <x:v>Market controls appeared only when active output existed.</x:v>
      </x:c>
      <x:c r="K24" s="3" t="str"/>
      <x:c r="L24" s="3" t="str">
        <x:v>2026-06-23</x:v>
      </x:c>
    </x:row>
    <x:row r="25" ht="69" customHeight="1">
      <x:c r="A25" s="3" t="str">
        <x:v>TC-024</x:v>
      </x:c>
      <x:c r="B25" s="3" t="str">
        <x:v>F-024</x:v>
      </x:c>
      <x:c r="C25" s="3" t="str">
        <x:v>Incentive Scheme Selection and Dynamic Inputs</x:v>
      </x:c>
      <x:c r="D25" s="3" t="str">
        <x:v>Happy/Error/Boundary</x:v>
      </x:c>
      <x:c r="E25" s="3" t="str">
        <x:v>Policy dynamic input suite</x:v>
      </x:c>
      <x:c r="F25" s="3" t="str">
        <x:v>Select US 48E policy in browser and run catalog-wide policy metadata/input-bound tests.</x:v>
      </x:c>
      <x:c r="G25" s="3" t="str">
        <x:v>Policy select populates named US, European, framework-only, and custom schemes. Selecting a scheme renders its active inputs, applicability, modeled basis, stacking rule, note, and US caveats when applicable.</x:v>
      </x:c>
      <x:c r="H25" s="3" t="str">
        <x:v>Browser workflow plus automated catalog tests</x:v>
      </x:c>
      <x:c r="I25" s="3" t="str">
        <x:v>Passed</x:v>
      </x:c>
      <x:c r="J25" s="3" t="str">
        <x:v>48E controls, applicability, basis, stacking rule, US caveats, and all exposed scheme input metadata rendered within expected bounds.</x:v>
      </x:c>
      <x:c r="K25" s="3" t="str"/>
      <x:c r="L25" s="3" t="str">
        <x:v>2026-06-23</x:v>
      </x:c>
    </x:row>
    <x:row r="26" ht="69" customHeight="1">
      <x:c r="A26" s="3" t="str">
        <x:v>TC-025</x:v>
      </x:c>
      <x:c r="B26" s="3" t="str">
        <x:v>F-025</x:v>
      </x:c>
      <x:c r="C26" s="3" t="str">
        <x:v>Policy Cash-Flow Evaluation and Legacy Migration</x:v>
      </x:c>
      <x:c r="D26" s="3" t="str">
        <x:v>Boundary/Compatibility</x:v>
      </x:c>
      <x:c r="E26" s="3" t="str">
        <x:v>Policy calculation suite</x:v>
      </x:c>
      <x:c r="F26" s="3" t="str">
        <x:v>Run legacy policy, 48E, 45Y, CfD, no-policy, and every exposed policy-scheme economics test.</x:v>
      </x:c>
      <x:c r="G26" s="3" t="str">
        <x:v>Legacy policy aliases normalize into current policyMode/input state. Policy evaluation computes upfront support, annual support, output metrics, duration, and capex allocation where applicable.</x:v>
      </x:c>
      <x:c r="H26" s="3" t="str">
        <x:v>Automated tests</x:v>
      </x:c>
      <x:c r="I26" s="3" t="str">
        <x:v>Passed</x:v>
      </x:c>
      <x:c r="J26" s="3" t="str">
        <x:v>Legacy modes and policy cash-flow effects matched expected behavior, and every exposed policy scheme produced finite economics outputs.</x:v>
      </x:c>
      <x:c r="K26" s="3" t="str"/>
      <x:c r="L26" s="3" t="str">
        <x:v>2026-06-23</x:v>
      </x:c>
    </x:row>
    <x:row r="27" ht="69" customHeight="1">
      <x:c r="A27" s="3" t="str">
        <x:v>TC-026</x:v>
      </x:c>
      <x:c r="B27" s="3" t="str">
        <x:v>F-026</x:v>
      </x:c>
      <x:c r="C27" s="3" t="str">
        <x:v>Project Economics Controls</x:v>
      </x:c>
      <x:c r="D27" s="3" t="str">
        <x:v>Boundary/Calculation</x:v>
      </x:c>
      <x:c r="E27" s="3" t="str">
        <x:v>Project economics suite</x:v>
      </x:c>
      <x:c r="F27" s="3" t="str">
        <x:v>Run IRR root, replacement, timeline, and payback tests.</x:v>
      </x:c>
      <x:c r="G27" s="3" t="str">
        <x:v>Solar asset life, analysis horizon, and discount rate update capital recovery, replacement schedule, NPV, IRR, payback, and economics charts. Debt term is capped by horizon.</x:v>
      </x:c>
      <x:c r="H27" s="3" t="str">
        <x:v>Automated tests</x:v>
      </x:c>
      <x:c r="I27" s="3" t="str">
        <x:v>Passed</x:v>
      </x:c>
      <x:c r="J27" s="3" t="str">
        <x:v>NPV/IRR/payback calculations stayed coherent across edge cases.</x:v>
      </x:c>
      <x:c r="K27" s="3" t="str"/>
      <x:c r="L27" s="3" t="str">
        <x:v>2026-06-23</x:v>
      </x:c>
    </x:row>
    <x:row r="28" ht="69" customHeight="1">
      <x:c r="A28" s="3" t="str">
        <x:v>TC-027</x:v>
      </x:c>
      <x:c r="B28" s="3" t="str">
        <x:v>F-027</x:v>
      </x:c>
      <x:c r="C28" s="3" t="str">
        <x:v>Debt Financing Workflow</x:v>
      </x:c>
      <x:c r="D28" s="3" t="str">
        <x:v>Happy/Boundary</x:v>
      </x:c>
      <x:c r="E28" s="3" t="str">
        <x:v>Debt financing suite</x:v>
      </x:c>
      <x:c r="F28" s="3" t="str">
        <x:v>Enable debt in browser and run debt amortization/coverage tests.</x:v>
      </x:c>
      <x:c r="G28" s="3" t="str">
        <x:v>Debt toggle opens debt assumptions, changes headline label to Equity IRR, calculates debt-funded upfront CAPEX, level debt service, sponsor support where needed, DSCR, equity IRR, and equity payback.</x:v>
      </x:c>
      <x:c r="H28" s="3" t="str">
        <x:v>Browser workflow plus automated tests</x:v>
      </x:c>
      <x:c r="I28" s="3" t="str">
        <x:v>Passed</x:v>
      </x:c>
      <x:c r="J28" s="3" t="str">
        <x:v>Equity IRR headline and debt metrics updated correctly.</x:v>
      </x:c>
      <x:c r="K28" s="3" t="str"/>
      <x:c r="L28" s="3" t="str">
        <x:v>2026-06-23</x:v>
      </x:c>
    </x:row>
    <x:row r="29" ht="69" customHeight="1">
      <x:c r="A29" s="3" t="str">
        <x:v>TC-028</x:v>
      </x:c>
      <x:c r="B29" s="3" t="str">
        <x:v>F-028</x:v>
      </x:c>
      <x:c r="C29" s="3" t="str">
        <x:v>Maintenance and Operations Controls</x:v>
      </x:c>
      <x:c r="D29" s="3" t="str">
        <x:v>Happy/Boundary</x:v>
      </x:c>
      <x:c r="E29" s="3" t="str">
        <x:v>M&amp;O suite</x:v>
      </x:c>
      <x:c r="F29" s="3" t="str">
        <x:v>Inspect M&amp;O controls and verify exploratory M&amp;O appears with MTG output.</x:v>
      </x:c>
      <x:c r="G29" s="3" t="str">
        <x:v>Solar, process, battery, and active exploratory M&amp;O percentages feed annual O&amp;M, levelized cost, annual profit, and economics breakdown.</x:v>
      </x:c>
      <x:c r="H29" s="3" t="str">
        <x:v>Browser workflow plus automated economics coverage</x:v>
      </x:c>
      <x:c r="I29" s="3" t="str">
        <x:v>Passed</x:v>
      </x:c>
      <x:c r="J29" s="3" t="str">
        <x:v>Category O&amp;M and exploratory O&amp;M were visible/applied when relevant.</x:v>
      </x:c>
      <x:c r="K29" s="3" t="str"/>
      <x:c r="L29" s="3" t="str">
        <x:v>2026-06-23</x:v>
      </x:c>
    </x:row>
    <x:row r="30" ht="69" customHeight="1">
      <x:c r="A30" s="3" t="str">
        <x:v>TC-029</x:v>
      </x:c>
      <x:c r="B30" s="3" t="str">
        <x:v>F-029</x:v>
      </x:c>
      <x:c r="C30" s="3" t="str">
        <x:v>Calculation Normalization, Validation, and Dependency Enforcement</x:v>
      </x:c>
      <x:c r="D30" s="3" t="str">
        <x:v>Invalid input/Security</x:v>
      </x:c>
      <x:c r="E30" s="3" t="str">
        <x:v>Normalization suite</x:v>
      </x:c>
      <x:c r="F30" s="3" t="str">
        <x:v>Run invalid state and dependency auto-enable tests; inspect UI edit behavior as non-defect observation.</x:v>
      </x:c>
      <x:c r="G30" s="3" t="str">
        <x:v>Calc.normalizeState clamps values, applies defaults, derives batteryEnabled, normalizes legacy policy modes, and enforceModuleDependencies enables upstream modules required by downstream routes.</x:v>
      </x:c>
      <x:c r="H30" s="3" t="str">
        <x:v>Automated tests plus browser observation</x:v>
      </x:c>
      <x:c r="I30" s="3" t="str">
        <x:v>Passed</x:v>
      </x:c>
      <x:c r="J30" s="3" t="str">
        <x:v>Calculation inputs normalize before use and downstream modules auto-enable upstream dependencies.</x:v>
      </x:c>
      <x:c r="K30" s="3" t="str"/>
      <x:c r="L30" s="3" t="str">
        <x:v>2026-06-23</x:v>
      </x:c>
    </x:row>
    <x:row r="31" ht="69" customHeight="1">
      <x:c r="A31" s="3" t="str">
        <x:v>TC-030</x:v>
      </x:c>
      <x:c r="B31" s="3" t="str">
        <x:v>F-030</x:v>
      </x:c>
      <x:c r="C31" s="3" t="str">
        <x:v>Header Viability and Project Score</x:v>
      </x:c>
      <x:c r="D31" s="3" t="str">
        <x:v>Happy/Boundary</x:v>
      </x:c>
      <x:c r="E31" s="3" t="str">
        <x:v>Header and score suite</x:v>
      </x:c>
      <x:c r="F31" s="3" t="str">
        <x:v>Inspect default, Mars, AI, policy, and financing header metrics and project score in browser.</x:v>
      </x:c>
      <x:c r="G31" s="3" t="str">
        <x:v>Header status is Viable when NPV is positive and payback is within horizon, Marginal when NPV or final cumulative cash is positive, otherwise Not viable. Project Score combines ROI, payback, utilization, feed balance, and design-rate badges.</x:v>
      </x:c>
      <x:c r="H31" s="3" t="str">
        <x:v>Browser workflows</x:v>
      </x:c>
      <x:c r="I31" s="3" t="str">
        <x:v>Passed</x:v>
      </x:c>
      <x:c r="J31" s="3" t="str">
        <x:v>Viability/status and score updated with scenario changes.</x:v>
      </x:c>
      <x:c r="K31" s="3" t="str"/>
      <x:c r="L31" s="3" t="str">
        <x:v>2026-06-23</x:v>
      </x:c>
    </x:row>
    <x:row r="32" ht="69" customHeight="1">
      <x:c r="A32" s="3" t="str">
        <x:v>TC-031</x:v>
      </x:c>
      <x:c r="B32" s="3" t="str">
        <x:v>F-031</x:v>
      </x:c>
      <x:c r="C32" s="3" t="str">
        <x:v>Process Diagram Rendering</x:v>
      </x:c>
      <x:c r="D32" s="3" t="str">
        <x:v>Visual/Responsive</x:v>
      </x:c>
      <x:c r="E32" s="3" t="str">
        <x:v>Diagram suite</x:v>
      </x:c>
      <x:c r="F32" s="3" t="str">
        <x:v>Inspect default and dist diagrams in browser and run diagram formatting test.</x:v>
      </x:c>
      <x:c r="G32" s="3" t="str">
        <x:v>Diagram renders SVG cards and connectors from calculated results, including average/peak power and material flow labels. Cards appear for active supported and exploratory modules.</x:v>
      </x:c>
      <x:c r="H32" s="3" t="str">
        <x:v>Browser render plus automated test</x:v>
      </x:c>
      <x:c r="I32" s="3" t="str">
        <x:v>Passed</x:v>
      </x:c>
      <x:c r="J32" s="3" t="str">
        <x:v>SVG rendered and labels formatted peak/average values.</x:v>
      </x:c>
      <x:c r="K32" s="3" t="str"/>
      <x:c r="L32" s="3" t="str">
        <x:v>2026-06-23</x:v>
      </x:c>
    </x:row>
    <x:row r="33" ht="69" customHeight="1">
      <x:c r="A33" s="3" t="str">
        <x:v>TC-032</x:v>
      </x:c>
      <x:c r="B33" s="3" t="str">
        <x:v>F-032</x:v>
      </x:c>
      <x:c r="C33" s="3" t="str">
        <x:v>Site Footprint Map</x:v>
      </x:c>
      <x:c r="D33" s="3" t="str">
        <x:v>Happy/Error/Dependency</x:v>
      </x:c>
      <x:c r="E33" s="3" t="str">
        <x:v>Map suite</x:v>
      </x:c>
      <x:c r="F33" s="3" t="str">
        <x:v>Verify Earth map, Mars fallback, Leaflet-unavailable fallback, Esri tile-error fallback, coordinate clamping, and dist map render.</x:v>
      </x:c>
      <x:c r="G33" s="3" t="str">
        <x:v>Earth sites initialize a Leaflet/Esri map with draggable marker, total footprint rectangle, process subblocks, area/side metrics, and click/drag coordinate updates. Non-Earth, missing Leaflet, or failed Esri tiles show empty fallback while footprint metrics continue updating.</x:v>
      </x:c>
      <x:c r="H33" s="3" t="str">
        <x:v>Browser workflows plus automated site-map fallback tests</x:v>
      </x:c>
      <x:c r="I33" s="3" t="str">
        <x:v>Passed after remediation</x:v>
      </x:c>
      <x:c r="J33" s="3" t="str">
        <x:v>Earth map displayed, Mars fallback displayed, dist map rendered without console errors, and missing/failed map dependencies now show fallback states.</x:v>
      </x:c>
      <x:c r="K33" s="3" t="str">
        <x:v>D-005</x:v>
      </x:c>
      <x:c r="L33" s="3" t="str">
        <x:v>2026-06-23</x:v>
      </x:c>
    </x:row>
    <x:row r="34" ht="69" customHeight="1">
      <x:c r="A34" s="3" t="str">
        <x:v>TC-033</x:v>
      </x:c>
      <x:c r="B34" s="3" t="str">
        <x:v>F-033</x:v>
      </x:c>
      <x:c r="C34" s="3" t="str">
        <x:v>Power Profile Chart</x:v>
      </x:c>
      <x:c r="D34" s="3" t="str">
        <x:v>Visual/Boundary/Error</x:v>
      </x:c>
      <x:c r="E34" s="3" t="str">
        <x:v>Power chart suite</x:v>
      </x:c>
      <x:c r="F34" s="3" t="str">
        <x:v>Inspect chart notes/canvases in browser, run dispatch input tests, and verify Chart.js fallback coverage.</x:v>
      </x:c>
      <x:c r="G34" s="3" t="str">
        <x:v>Chart shows solar output, chemical load, AI served, battery charge, and clipped solar where applicable, with notes that vary by AI, battery, specific day, and body.</x:v>
      </x:c>
      <x:c r="H34" s="3" t="str">
        <x:v>Browser render plus automated tests</x:v>
      </x:c>
      <x:c r="I34" s="3" t="str">
        <x:v>Passed</x:v>
      </x:c>
      <x:c r="J34" s="3" t="str">
        <x:v>Power chart containers/notes rendered, underlying dispatch arrays passed tests, and missing Chart.js no longer breaks calculation flow.</x:v>
      </x:c>
      <x:c r="K34" s="3" t="str"/>
      <x:c r="L34" s="3" t="str">
        <x:v>2026-06-23</x:v>
      </x:c>
    </x:row>
    <x:row r="35" ht="69" customHeight="1">
      <x:c r="A35" s="3" t="str">
        <x:v>TC-034</x:v>
      </x:c>
      <x:c r="B35" s="3" t="str">
        <x:v>F-034</x:v>
      </x:c>
      <x:c r="C35" s="3" t="str">
        <x:v>Annual Dispatch Chart</x:v>
      </x:c>
      <x:c r="D35" s="3" t="str">
        <x:v>Visual/Boundary/Error</x:v>
      </x:c>
      <x:c r="E35" s="3" t="str">
        <x:v>Annual dispatch suite</x:v>
      </x:c>
      <x:c r="F35" s="3" t="str">
        <x:v>Run Mars/Moon/AI display-series tests, inspect default annual note, and verify Chart.js fallback coverage.</x:v>
      </x:c>
      <x:c r="G35" s="3" t="str">
        <x:v>Annual dispatch chart displays solar, AI served, residual chemistry, storage, and clipping series depending on body and mode, with body-specific notes.</x:v>
      </x:c>
      <x:c r="H35" s="3" t="str">
        <x:v>Automated tests plus browser observation</x:v>
      </x:c>
      <x:c r="I35" s="3" t="str">
        <x:v>Passed</x:v>
      </x:c>
      <x:c r="J35" s="3" t="str">
        <x:v>Annual dispatch series were finite, notes matched mode, and missing Chart.js no longer breaks calculation flow.</x:v>
      </x:c>
      <x:c r="K35" s="3" t="str"/>
      <x:c r="L35" s="3" t="str">
        <x:v>2026-06-23</x:v>
      </x:c>
    </x:row>
    <x:row r="36" ht="69" customHeight="1">
      <x:c r="A36" s="3" t="str">
        <x:v>TC-035</x:v>
      </x:c>
      <x:c r="B36" s="3" t="str">
        <x:v>F-035</x:v>
      </x:c>
      <x:c r="C36" s="3" t="str">
        <x:v>Economics Timeline Chart</x:v>
      </x:c>
      <x:c r="D36" s="3" t="str">
        <x:v>Visual/Calculation/Error</x:v>
      </x:c>
      <x:c r="E36" s="3" t="str">
        <x:v>Economics timeline suite</x:v>
      </x:c>
      <x:c r="F36" s="3" t="str">
        <x:v>Run cash-flow timeline tests, inspect browser chart container, and verify Chart.js fallback coverage.</x:v>
      </x:c>
      <x:c r="G36" s="3" t="str">
        <x:v>Timeline starts at close, includes upfront support, revenue, O&amp;M, debt service/sponsor support where applicable, replacements, and cumulative cash flow with aligned dual-axis zero baselines.</x:v>
      </x:c>
      <x:c r="H36" s="3" t="str">
        <x:v>Automated tests plus browser render</x:v>
      </x:c>
      <x:c r="I36" s="3" t="str">
        <x:v>Passed</x:v>
      </x:c>
      <x:c r="J36" s="3" t="str">
        <x:v>Timeline calculations reconciled to expected cash-flow buckets and missing Chart.js no longer breaks calculation flow.</x:v>
      </x:c>
      <x:c r="K36" s="3" t="str"/>
      <x:c r="L36" s="3" t="str">
        <x:v>2026-06-23</x:v>
      </x:c>
    </x:row>
    <x:row r="37" ht="69" customHeight="1">
      <x:c r="A37" s="3" t="str">
        <x:v>TC-036</x:v>
      </x:c>
      <x:c r="B37" s="3" t="str">
        <x:v>F-036</x:v>
      </x:c>
      <x:c r="C37" s="3" t="str">
        <x:v>CAPEX Doughnut Chart</x:v>
      </x:c>
      <x:c r="D37" s="3" t="str">
        <x:v>Visual/Calculation/Error</x:v>
      </x:c>
      <x:c r="E37" s="3" t="str">
        <x:v>CAPEX chart suite</x:v>
      </x:c>
      <x:c r="F37" s="3" t="str">
        <x:v>Run CAPEX sum test, inspect economics chart canvas, and run Chart.js-unavailable fallback test.</x:v>
      </x:c>
      <x:c r="G37" s="3" t="str">
        <x:v>Doughnut chart displays compacted CAPEX categories and groups tiny segments under Other when many categories exist.</x:v>
      </x:c>
      <x:c r="H37" s="3" t="str">
        <x:v>Automated tests plus browser render</x:v>
      </x:c>
      <x:c r="I37" s="3" t="str">
        <x:v>Passed after remediation</x:v>
      </x:c>
      <x:c r="J37" s="3" t="str">
        <x:v>CAPEX breakdown reconciled to total, chart container rendered, and missing Chart.js shows a visible fallback.</x:v>
      </x:c>
      <x:c r="K37" s="3" t="str">
        <x:v>D-004</x:v>
      </x:c>
      <x:c r="L37" s="3" t="str">
        <x:v>2026-06-23</x:v>
      </x:c>
    </x:row>
    <x:row r="38" ht="69" customHeight="1">
      <x:c r="A38" s="3" t="str">
        <x:v>TC-037</x:v>
      </x:c>
      <x:c r="B38" s="3" t="str">
        <x:v>F-037</x:v>
      </x:c>
      <x:c r="C38" s="3" t="str">
        <x:v>Sensitivity Charts</x:v>
      </x:c>
      <x:c r="D38" s="3" t="str">
        <x:v>Happy/Boundary/Error</x:v>
      </x:c>
      <x:c r="E38" s="3" t="str">
        <x:v>Sensitivity suite</x:v>
      </x:c>
      <x:c r="F38" s="3" t="str">
        <x:v>Enable outputs that trigger sensitivity, inspect sensitivity visibility, and verify no sweeps run without Chart.js.</x:v>
      </x:c>
      <x:c r="G38" s="3" t="str">
        <x:v>Methane, methanol, and AI sensitivity cards are hidden unless corresponding output/revenue exists. Active charts run scenario sensitivities across configured price ranges.</x:v>
      </x:c>
      <x:c r="H38" s="3" t="str">
        <x:v>Browser AI flow plus automated renderer fallback tests</x:v>
      </x:c>
      <x:c r="I38" s="3" t="str">
        <x:v>Passed after remediation</x:v>
      </x:c>
      <x:c r="J38" s="3" t="str">
        <x:v>Sensitivity cards are tied to active output availability and missing Chart.js shows fallback without running sweeps.</x:v>
      </x:c>
      <x:c r="K38" s="3" t="str">
        <x:v>D-004</x:v>
      </x:c>
      <x:c r="L38" s="3" t="str">
        <x:v>2026-06-23</x:v>
      </x:c>
    </x:row>
    <x:row r="39" ht="69" customHeight="1">
      <x:c r="A39" s="3" t="str">
        <x:v>TC-038</x:v>
      </x:c>
      <x:c r="B39" s="3" t="str">
        <x:v>F-038</x:v>
      </x:c>
      <x:c r="C39" s="3" t="str">
        <x:v>Production Summary</x:v>
      </x:c>
      <x:c r="D39" s="3" t="str">
        <x:v>Happy/Error</x:v>
      </x:c>
      <x:c r="E39" s="3" t="str">
        <x:v>Production summary suite</x:v>
      </x:c>
      <x:c r="F39" s="3" t="str">
        <x:v>Inspect default, AI, MTG, and mobile production grids; run renderer tests.</x:v>
      </x:c>
      <x:c r="G39" s="3" t="str">
        <x:v>Production grid lists solar electricity, AI tokens when enabled, H2, CO2 captured, methane, methanol export, exploratory output, unused H2, and CO2 surplus only when relevant.</x:v>
      </x:c>
      <x:c r="H39" s="3" t="str">
        <x:v>Browser workflows plus automated tests</x:v>
      </x:c>
      <x:c r="I39" s="3" t="str">
        <x:v>Passed</x:v>
      </x:c>
      <x:c r="J39" s="3" t="str">
        <x:v>Rows matched active outputs and disabled rows were omitted.</x:v>
      </x:c>
      <x:c r="K39" s="3" t="str"/>
      <x:c r="L39" s="3" t="str">
        <x:v>2026-06-23</x:v>
      </x:c>
    </x:row>
    <x:row r="40" ht="69" customHeight="1">
      <x:c r="A40" s="3" t="str">
        <x:v>TC-039</x:v>
      </x:c>
      <x:c r="B40" s="3" t="str">
        <x:v>F-039</x:v>
      </x:c>
      <x:c r="C40" s="3" t="str">
        <x:v>Economics Breakdown</x:v>
      </x:c>
      <x:c r="D40" s="3" t="str">
        <x:v>Happy/Boundary</x:v>
      </x:c>
      <x:c r="E40" s="3" t="str">
        <x:v>Economics breakdown suite</x:v>
      </x:c>
      <x:c r="F40" s="3" t="str">
        <x:v>Inspect default, policy, financing, and MTG economics excerpts; run tooltip renderer test.</x:v>
      </x:c>
      <x:c r="G40" s="3" t="str">
        <x:v>Economics panel groups summary metrics, project returns, cost breakdown, revenue breakdown, financing details, unit economics, policy context, feed surplus, and active routes.</x:v>
      </x:c>
      <x:c r="H40" s="3" t="str">
        <x:v>Browser workflows plus automated test</x:v>
      </x:c>
      <x:c r="I40" s="3" t="str">
        <x:v>Passed</x:v>
      </x:c>
      <x:c r="J40" s="3" t="str">
        <x:v>Economics sections reflected active policy/debt/routes.</x:v>
      </x:c>
      <x:c r="K40" s="3" t="str"/>
      <x:c r="L40" s="3" t="str">
        <x:v>2026-06-23</x:v>
      </x:c>
    </x:row>
    <x:row r="41" ht="69" customHeight="1">
      <x:c r="A41" s="3" t="str">
        <x:v>TC-040</x:v>
      </x:c>
      <x:c r="B41" s="3" t="str">
        <x:v>F-040</x:v>
      </x:c>
      <x:c r="C41" s="3" t="str">
        <x:v>Environmental Impact Summary</x:v>
      </x:c>
      <x:c r="D41" s="3" t="str">
        <x:v>Happy/Boundary</x:v>
      </x:c>
      <x:c r="E41" s="3" t="str">
        <x:v>Impact suite</x:v>
      </x:c>
      <x:c r="F41" s="3" t="str">
        <x:v>Inspect default impact grid and verify it updates after scenario recalculation.</x:v>
      </x:c>
      <x:c r="G41" s="3" t="str">
        <x:v>Impact grid shows CO2 captured, CO2 displaced, land use, water recycled, and net water needed from calculation outputs.</x:v>
      </x:c>
      <x:c r="H41" s="3" t="str">
        <x:v>Browser render check</x:v>
      </x:c>
      <x:c r="I41" s="3" t="str">
        <x:v>Passed</x:v>
      </x:c>
      <x:c r="J41" s="3" t="str">
        <x:v>CO2, land, and water impact metrics rendered from results.</x:v>
      </x:c>
      <x:c r="K41" s="3" t="str"/>
      <x:c r="L41" s="3" t="str">
        <x:v>2026-06-23</x:v>
      </x:c>
    </x:row>
    <x:row r="42" ht="69" customHeight="1">
      <x:c r="A42" s="3" t="str">
        <x:v>TC-041</x:v>
      </x:c>
      <x:c r="B42" s="3" t="str">
        <x:v>F-041</x:v>
      </x:c>
      <x:c r="C42" s="3" t="str">
        <x:v>Build and Deploy Asset Packaging</x:v>
      </x:c>
      <x:c r="D42" s="3" t="str">
        <x:v>Build/Security/Regression</x:v>
      </x:c>
      <x:c r="E42" s="3" t="str">
        <x:v>Production packaging suite</x:v>
      </x:c>
      <x:c r="F42" s="3" t="str">
        <x:v>Run build, inspect dist for leaked artifacts, patch build exclusions, add automated regression coverage, rebuild, retest suite, and preview dist.</x:v>
      </x:c>
      <x:c r="G42" s="3" t="str">
        <x:v>Build deletes and rebuilds dist, copies app assets plus lz-string, excludes dev/test/runtime metadata, replaces __APP_BUILD_ID__, and versions local CSS/JS URLs.</x:v>
      </x:c>
      <x:c r="H42" s="3" t="str">
        <x:v>Build command, tests/build/build.test.js, file-tree checks, browser preview, automated tests</x:v>
      </x:c>
      <x:c r="I42" s="3" t="str">
        <x:v>Passed after remediation</x:v>
      </x:c>
      <x:c r="J42" s="3" t="str">
        <x:v>Dist excludes local artifacts, the packaging regression is automated, and production preview loads cleanly.</x:v>
      </x:c>
      <x:c r="K42" s="3" t="str">
        <x:v>D-001</x:v>
      </x:c>
      <x:c r="L42" s="3" t="str">
        <x:v>2026-06-23</x:v>
      </x:c>
    </x:row>
    <x:row r="43" ht="69" customHeight="1">
      <x:c r="A43" s="3" t="str">
        <x:v>TC-042</x:v>
      </x:c>
      <x:c r="B43" s="3" t="str">
        <x:v>F-042</x:v>
      </x:c>
      <x:c r="C43" s="3" t="str">
        <x:v>Static Development and Preview Server</x:v>
      </x:c>
      <x:c r="D43" s="3" t="str">
        <x:v>Security/Error</x:v>
      </x:c>
      <x:c r="E43" s="3" t="str">
        <x:v>Static server suite</x:v>
      </x:c>
      <x:c r="F43" s="3" t="str">
        <x:v>Probe root, missing file, encoded traversal, malformed URL, MIME, cache, and directory index behavior.</x:v>
      </x:c>
      <x:c r="G43" s="3" t="str">
        <x:v>Server serves requested files from root or dist, maps known MIME types, returns 404 for missing files, prevents root escape, and uses no-store cache headers.</x:v>
      </x:c>
      <x:c r="H43" s="3" t="str">
        <x:v>tests/server/dev-server.test.js plus localhost HTTP probes</x:v>
      </x:c>
      <x:c r="I43" s="3" t="str">
        <x:v>Passed after remediation</x:v>
      </x:c>
      <x:c r="J43" s="3" t="str">
        <x:v>Root served 200, missing file returned 404, encoded traversal did not escape root, malformed escapes return 400, and response headers are covered.</x:v>
      </x:c>
      <x:c r="K43" s="3" t="str">
        <x:v>D-002</x:v>
      </x:c>
      <x:c r="L43" s="3" t="str">
        <x:v>2026-06-23</x:v>
      </x:c>
    </x:row>
    <x:row r="44" ht="69" customHeight="1">
      <x:c r="A44" s="3" t="str">
        <x:v>TC-043</x:v>
      </x:c>
      <x:c r="B44" s="3" t="str">
        <x:v>F-043</x:v>
      </x:c>
      <x:c r="C44" s="3" t="str">
        <x:v>Calculation Runtime and Optimizer Worker Bootstrap</x:v>
      </x:c>
      <x:c r="D44" s="3" t="str">
        <x:v>Build/Runtime/Error</x:v>
      </x:c>
      <x:c r="E44" s="3" t="str">
        <x:v>Runtime asset suite</x:v>
      </x:c>
      <x:c r="F44" s="3" t="str">
        <x:v>Load dist preview, inspect versioned assets plus browser errors, and run asset resolver/optimizer Worker bootstrap tests.</x:v>
      </x:c>
      <x:c r="G44" s="3" t="str">
        <x:v>App references local calculation scripts, optimizer worker, and calculation runtime paths correctly from source and built asset URLs. Worker bootstrap assets receive build query strings when the build token is replaced.</x:v>
      </x:c>
      <x:c r="H44" s="3" t="str">
        <x:v>Browser dist preview plus automated renderer tests</x:v>
      </x:c>
      <x:c r="I44" s="3" t="str">
        <x:v>Passed</x:v>
      </x:c>
      <x:c r="J44" s="3" t="str">
        <x:v>Dist loaded with versioned local CSS/JS assets and no console errors; asset resolver and optimizer Worker fallback paths passed automated coverage.</x:v>
      </x:c>
      <x:c r="K44" s="3" t="str"/>
      <x:c r="L44" s="3" t="str">
        <x:v>2026-06-23</x:v>
      </x:c>
    </x:row>
    <x:row r="45" ht="69" customHeight="1">
      <x:c r="A45" s="3" t="str">
        <x:v>TC-044</x:v>
      </x:c>
      <x:c r="B45" s="3" t="str">
        <x:v>F-044</x:v>
      </x:c>
      <x:c r="C45" s="3" t="str">
        <x:v>Formatting and Number Display</x:v>
      </x:c>
      <x:c r="D45" s="3" t="str">
        <x:v>Formatting/Boundary</x:v>
      </x:c>
      <x:c r="E45" s="3" t="str">
        <x:v>Number formatting suite</x:v>
      </x:c>
      <x:c r="F45" s="3" t="str">
        <x:v>Run renderer and diagram formatting tests and inspect screenshots.</x:v>
      </x:c>
      <x:c r="G45" s="3" t="str">
        <x:v>FormatNumbers helpers and renderer methods format K/M/B values, fixed decimals, units, payback, IRR, and process flow magnitudes consistently.</x:v>
      </x:c>
      <x:c r="H45" s="3" t="str">
        <x:v>Automated tests plus browser screenshots</x:v>
      </x:c>
      <x:c r="I45" s="3" t="str">
        <x:v>Passed</x:v>
      </x:c>
      <x:c r="J45" s="3" t="str">
        <x:v>Displayed metrics retained units and compact formatting.</x:v>
      </x:c>
      <x:c r="K45" s="3" t="str"/>
      <x:c r="L45" s="3" t="str">
        <x:v>2026-06-23</x:v>
      </x:c>
    </x:row>
    <x:row r="46" ht="69" customHeight="1">
      <x:c r="A46" s="3" t="str">
        <x:v>TC-045</x:v>
      </x:c>
      <x:c r="B46" s="3" t="str">
        <x:v>F-045</x:v>
      </x:c>
      <x:c r="C46" s="3" t="str">
        <x:v>External Dependencies and Public Links</x:v>
      </x:c>
      <x:c r="D46" s="3" t="str">
        <x:v>Dependency/Error</x:v>
      </x:c>
      <x:c r="E46" s="3" t="str">
        <x:v>External dependency suite</x:v>
      </x:c>
      <x:c r="F46" s="3" t="str">
        <x:v>Load source and dist browser sessions, inspect maps/charts/share behavior and logs, and run missing Chart.js, missing Leaflet, and Esri tile-error fallback tests.</x:v>
      </x:c>
      <x:c r="G46" s="3" t="str">
        <x:v>Chart.js and Leaflet load from public CDNs, Esri tiles render for Earth maps, lz-string loads locally for hash sharing, chart/map dependencies degrade with visible fallback states when unavailable, and external reference links open in new tabs with noopener noreferrer.</x:v>
      </x:c>
      <x:c r="H46" s="3" t="str">
        <x:v>Browser render checks plus build and automated renderer fallback tests</x:v>
      </x:c>
      <x:c r="I46" s="3" t="str">
        <x:v>Passed after remediation</x:v>
      </x:c>
      <x:c r="J46" s="3" t="str">
        <x:v>External/local dependencies loaded during validation with no browser errors, and missing/failed chart/map dependencies now degrade to visible fallback states.</x:v>
      </x:c>
      <x:c r="K46" s="3" t="str">
        <x:v>D-004; D-005</x:v>
      </x:c>
      <x:c r="L46" s="3" t="str">
        <x:v>2026-06-23</x:v>
      </x:c>
    </x:row>
  </x:sheetData>
  <x:pageMargins left="0.7" right="0.7" top="0.75" bottom="0.75" header="0.3" footer="0.3"/>
  <x:tableParts count="1">
    <x:tablePart xmlns:r="http://schemas.openxmlformats.org/officeDocument/2006/relationships" r:id="R471ab4349cfb42b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9.4399995803833" hidden="0" customWidth="1"/>
    <x:col min="3" max="3" width="28.889999389648438" hidden="0" customWidth="1"/>
    <x:col min="4" max="4" width="10" hidden="0" customWidth="1"/>
    <x:col min="5" max="5" width="11.109999656677246" hidden="0" customWidth="1"/>
    <x:col min="6" max="6" width="40" hidden="0" customWidth="1"/>
    <x:col min="7" max="7" width="40" hidden="0" customWidth="1"/>
    <x:col min="8" max="8" width="31.110000610351562" hidden="0" customWidth="1"/>
    <x:col min="9" max="9" width="40" hidden="0" customWidth="1"/>
    <x:col min="10" max="10" width="40" hidden="0" customWidth="1"/>
    <x:col min="11" max="11" width="40" hidden="0" customWidth="1"/>
    <x:col min="12" max="12" width="12.220000267028809" hidden="0" customWidth="1"/>
    <x:col min="13" max="13" width="12.220000267028809" hidden="0" customWidth="1"/>
  </x:cols>
  <x:sheetData>
    <x:row r="1" ht="25.5" customHeight="1">
      <x:c r="A1" s="5" t="str">
        <x:v>Defect ID</x:v>
      </x:c>
      <x:c r="B1" s="5" t="str">
        <x:v>Feature ID</x:v>
      </x:c>
      <x:c r="C1" s="5" t="str">
        <x:v>Title</x:v>
      </x:c>
      <x:c r="D1" s="5" t="str">
        <x:v>Severity</x:v>
      </x:c>
      <x:c r="E1" s="5" t="str">
        <x:v>Status</x:v>
      </x:c>
      <x:c r="F1" s="5" t="str">
        <x:v>Reproduction Steps</x:v>
      </x:c>
      <x:c r="G1" s="5" t="str">
        <x:v>Expected Result</x:v>
      </x:c>
      <x:c r="H1" s="5" t="str">
        <x:v>Actual Result</x:v>
      </x:c>
      <x:c r="I1" s="5" t="str">
        <x:v>Root Cause Hypothesis</x:v>
      </x:c>
      <x:c r="J1" s="5" t="str">
        <x:v>Fix Summary</x:v>
      </x:c>
      <x:c r="K1" s="5" t="str">
        <x:v>Verification</x:v>
      </x:c>
      <x:c r="L1" s="5" t="str">
        <x:v>Opened Date</x:v>
      </x:c>
      <x:c r="M1" s="5" t="str">
        <x:v>Resolved Date</x:v>
      </x:c>
    </x:row>
    <x:row r="2" ht="90" customHeight="1">
      <x:c r="A2" s="3" t="str">
        <x:v>D-001</x:v>
      </x:c>
      <x:c r="B2" s="3" t="str">
        <x:v>F-041</x:v>
      </x:c>
      <x:c r="C2" s="3" t="str">
        <x:v>Production build copied local developer artifacts into dist</x:v>
      </x:c>
      <x:c r="D2" s="3" t="str">
        <x:v>High</x:v>
      </x:c>
      <x:c r="E2" s="3" t="str">
        <x:v>Resolved</x:v>
      </x:c>
      <x:c r="F2" s="3" t="str">
        <x:v>Run npm run build, then inspect dist. Initial output contained dist/.claude/launch.json, dist/.DS_Store, and dist/js/NOTES.md when those local files existed in the workspace.</x:v>
      </x:c>
      <x:c r="G2" s="3" t="str">
        <x:v>Production dist output should contain only deployable app assets and approved static metadata, not local agent/tooling files, OS metadata, generated outputs, tests, scripts, or ad hoc notes.</x:v>
      </x:c>
      <x:c r="H2" s="3" t="str">
        <x:v>Initial dist output included local development artifacts before remediation.</x:v>
      </x:c>
      <x:c r="I2" s="3" t="str">
        <x:v>scripts/build.mjs used a narrow blacklist and copied most project-tree entries by default, so untracked local artifacts under root/js were included.</x:v>
      </x:c>
      <x:c r="J2" s="3" t="str">
        <x:v>Extended build exclusions to skip .agents, .claude, .codex, outputs, .DS_Store, and NOTES.md files in addition to existing dev/test/package exclusions.</x:v>
      </x:c>
      <x:c r="K2" s="3" t="str">
        <x:v>Rebuilt dist; file-tree check confirmed artifacts absent. Added tests/build/build.test.js regression coverage. npm test passed 82/82. Dist preview at localhost:4174 loaded with versioned assets and no browser errors.</x:v>
      </x:c>
      <x:c r="L2" s="3" t="str">
        <x:v>2026-06-23</x:v>
      </x:c>
      <x:c r="M2" s="3" t="str">
        <x:v>2026-06-23</x:v>
      </x:c>
    </x:row>
    <x:row r="3" ht="90" customHeight="1">
      <x:c r="A3" s="3" t="str">
        <x:v>D-002</x:v>
      </x:c>
      <x:c r="B3" s="3" t="str">
        <x:v>F-042</x:v>
      </x:c>
      <x:c r="C3" s="3" t="str">
        <x:v>Malformed percent-encoded static-server URL could escape the normal error response path</x:v>
      </x:c>
      <x:c r="D3" s="3" t="str">
        <x:v>Medium</x:v>
      </x:c>
      <x:c r="E3" s="3" t="str">
        <x:v>Resolved</x:v>
      </x:c>
      <x:c r="F3" s="3" t="str">
        <x:v>Call the static server request path with a malformed escape sequence such as /%E0%A4%A. The previous implementation decoded the pathname inline without catching URIError.</x:v>
      </x:c>
      <x:c r="G3" s="3" t="str">
        <x:v>Malformed URL encoding should return a controlled 400 Bad request response and should not interrupt the request handler.</x:v>
      </x:c>
      <x:c r="H3" s="3" t="str">
        <x:v>The previous request handler could throw while decoding the URL path before selecting a 400/403/404 response.</x:v>
      </x:c>
      <x:c r="I3" s="3" t="str">
        <x:v>decodeURIComponent was called directly inside the async request handler with no malformed-URI guard, and the path containment check used a raw startsWith-style approach rather than a reusable path-relative helper.</x:v>
      </x:c>
      <x:c r="J3" s="3" t="str">
        <x:v>Refactored scripts/dev.mjs into import-safe helpers, added resolveStaticPath with malformed-encoding handling, added path-relative root containment, and made serveStaticRequest return 400 for bad encoded paths.</x:v>
      </x:c>
      <x:c r="K3" s="3" t="str">
        <x:v>Added tests/server/dev-server.test.js covering root resolution, encoded traversal containment, malformed URL 400, MIME types, no-store cache headers, missing file 404, and directory index resolution. Sequential npm test passed 84/84 and npm run build passed.</x:v>
      </x:c>
      <x:c r="L3" s="3" t="str">
        <x:v>2026-06-23</x:v>
      </x:c>
      <x:c r="M3" s="3" t="str">
        <x:v>2026-06-23</x:v>
      </x:c>
    </x:row>
    <x:row r="4" ht="90" customHeight="1">
      <x:c r="A4" s="3" t="str">
        <x:v>D-003</x:v>
      </x:c>
      <x:c r="B4" s="3" t="str">
        <x:v>F-006</x:v>
      </x:c>
      <x:c r="C4" s="3" t="str">
        <x:v>Day-mode and preset controls omitted explicit button types</x:v>
      </x:c>
      <x:c r="D4" s="3" t="str">
        <x:v>Low</x:v>
      </x:c>
      <x:c r="E4" s="3" t="str">
        <x:v>Resolved</x:v>
      </x:c>
      <x:c r="F4" s="3" t="str">
        <x:v>Inspect index.html day-mode and day-preset controls. The Annual Average, Specific Day, and solstice/equinox preset buttons were &lt;button&gt; elements without type attributes.</x:v>
      </x:c>
      <x:c r="G4" s="3" t="str">
        <x:v>Interactive buttons that do not submit forms should declare type="button" so future form wrappers or browser defaults cannot change behavior.</x:v>
      </x:c>
      <x:c r="H4" s="3" t="str">
        <x:v>Six day-control buttons relied on the HTML default button type.</x:v>
      </x:c>
      <x:c r="I4" s="3" t="str">
        <x:v>Static HTML controls were authored without an explicit type and there was no automated UI contract test for button type declarations.</x:v>
      </x:c>
      <x:c r="J4" s="3" t="str">
        <x:v>Added type="button" to the day-mode and day-preset buttons and added tests/ui/html-contract.test.js coverage for all button elements.</x:v>
      </x:c>
      <x:c r="K4" s="3" t="str">
        <x:v>node --test tests/ui/html-contract.test.js passed 4/4. Sequential npm test passed 88/88 and npm run build passed.</x:v>
      </x:c>
      <x:c r="L4" s="3" t="str">
        <x:v>2026-06-23</x:v>
      </x:c>
      <x:c r="M4" s="3" t="str">
        <x:v>2026-06-23</x:v>
      </x:c>
    </x:row>
    <x:row r="5" ht="90" customHeight="1">
      <x:c r="A5" s="3" t="str">
        <x:v>D-004</x:v>
      </x:c>
      <x:c r="B5" s="3" t="str">
        <x:v>F-045</x:v>
      </x:c>
      <x:c r="C5" s="3" t="str">
        <x:v>Missing Chart.js runtime caused chart rendering to surface as a calculation error</x:v>
      </x:c>
      <x:c r="D5" s="3" t="str">
        <x:v>Medium</x:v>
      </x:c>
      <x:c r="E5" s="3" t="str">
        <x:v>Resolved</x:v>
      </x:c>
      <x:c r="F5" s="3" t="str">
        <x:v>Load or execute chart update methods when the Chart.js CDN has not provided window.Chart, then trigger recalculation or sensitivity rendering.</x:v>
      </x:c>
      <x:c r="G5" s="3" t="str">
        <x:v>The app should continue updating calculated metrics and text results while chart panes show a visible unavailable state when Chart.js cannot load.</x:v>
      </x:c>
      <x:c r="H5" s="3" t="str">
        <x:v>Chart update methods called new Chart(...) directly, so a missing Chart runtime could throw ReferenceError and be caught by the app-level calculation error handler.</x:v>
      </x:c>
      <x:c r="I5" s="3" t="str">
        <x:v>js/app-charts.js assumed the Chart.js global was present and did not guard chart creation or sensitivity sweeps behind a chart-runtime availability check.</x:v>
      </x:c>
      <x:c r="J5" s="3" t="str">
        <x:v>Added a shared chart runtime guard, visible chart-wrapper fallback state, chart instance cleanup, and sensitivity short-circuiting when Chart.js is unavailable.</x:v>
      </x:c>
      <x:c r="K5" s="3" t="str">
        <x:v>Added tests/renderers/charts.test.js covering economics fallback, sensitivity no-sweep behavior, and fallback clearing when Chart.js is available. node --test tests/renderers/charts.test.js passed 3/3. npm test passed 93/93 and npm run build passed.</x:v>
      </x:c>
      <x:c r="L5" s="3" t="str">
        <x:v>2026-06-23</x:v>
      </x:c>
      <x:c r="M5" s="3" t="str">
        <x:v>2026-06-23</x:v>
      </x:c>
    </x:row>
    <x:row r="6" ht="90" customHeight="1">
      <x:c r="A6" s="3" t="str">
        <x:v>D-005</x:v>
      </x:c>
      <x:c r="B6" s="3" t="str">
        <x:v>F-032</x:v>
      </x:c>
      <x:c r="C6" s="3" t="str">
        <x:v>Esri tile failures left the site map without a visible imagery fallback</x:v>
      </x:c>
      <x:c r="D6" s="3" t="str">
        <x:v>Medium</x:v>
      </x:c>
      <x:c r="E6" s="3" t="str">
        <x:v>Resolved</x:v>
      </x:c>
      <x:c r="F6" s="3" t="str">
        <x:v>Initialize the Earth site map with Leaflet available, then simulate the Esri tile layer emitting a tileerror event.</x:v>
      </x:c>
      <x:c r="G6" s="3" t="str">
        <x:v>Tile imagery failures should switch the map pane to a visible fallback message while footprint metrics continue updating.</x:v>
      </x:c>
      <x:c r="H6" s="3" t="str">
        <x:v>Leaflet initialization registered no tileerror handler, so failed tile imagery could leave the map pane blank or partially blank without a clear user-facing fallback.</x:v>
      </x:c>
      <x:c r="I6" s="3" t="str">
        <x:v>js/app-site-map.js treated successful Leaflet initialization as sufficient and did not handle downstream tile-provider failures.</x:v>
      </x:c>
      <x:c r="J6" s="3" t="str">
        <x:v>Stored the Leaflet tile layer and registered a tileerror handler that reuses the site-map fallback message surface for unavailable satellite tiles.</x:v>
      </x:c>
      <x:c r="K6" s="3" t="str">
        <x:v>Added tests/renderers/site-map.test.js covering Leaflet absence, Esri tileerror fallback, non-Earth fallback, and map-originated coordinate clamping. node --test tests/renderers/site-map.test.js passed 4/4. npm test passed 97/97 and npm run build passed.</x:v>
      </x:c>
      <x:c r="L6" s="3" t="str">
        <x:v>2026-06-23</x:v>
      </x:c>
      <x:c r="M6" s="3" t="str">
        <x:v>2026-06-23</x:v>
      </x:c>
    </x:row>
    <x:row r="7" ht="90" customHeight="1">
      <x:c r="A7" s="3" t="str">
        <x:v>D-006</x:v>
      </x:c>
      <x:c r="B7" s="3" t="str">
        <x:v>F-022</x:v>
      </x:c>
      <x:c r="C7" s="3" t="str">
        <x:v>Optimizer Worker postMessage failures left stale pending requests</x:v>
      </x:c>
      <x:c r="D7" s="3" t="str">
        <x:v>Low</x:v>
      </x:c>
      <x:c r="E7" s="3" t="str">
        <x:v>Resolved</x:v>
      </x:c>
      <x:c r="F7" s="3" t="str">
        <x:v>Create an optimizer Worker whose postMessage throws synchronously, then call requestOptimizerWorkerSearch.</x:v>
      </x:c>
      <x:c r="G7" s="3" t="str">
        <x:v>The optimizer request should reject, remove its pending request entry, and allow the app-level optimizer flow to fall back without retaining stale bookkeeping.</x:v>
      </x:c>
      <x:c r="H7" s="3" t="str">
        <x:v>The Promise rejected through the executor, but the pending request entry remained in optimizerRequests because cleanup only happened in Worker message/error handlers.</x:v>
      </x:c>
      <x:c r="I7" s="3" t="str">
        <x:v>requestOptimizerWorkerSearch added the request to optimizerRequests before calling worker.postMessage and did not wrap the send path in cleanup-aware error handling.</x:v>
      </x:c>
      <x:c r="J7" s="3" t="str">
        <x:v>Wrapped worker.postMessage in try/catch, deleting the request entry before rejecting on synchronous send failures.</x:v>
      </x:c>
      <x:c r="K7" s="3" t="str">
        <x:v>Added tests/renderers/optimizer.test.js covering asset path build IDs, Worker construction fallback to Calc, Worker error rejection/cleanup, and postMessage cleanup. node --test tests/renderers/optimizer.test.js passed 4/4. npm test passed 101/101 and npm run build passed.</x:v>
      </x:c>
      <x:c r="L7" s="3" t="str">
        <x:v>2026-06-23</x:v>
      </x:c>
      <x:c r="M7" s="3" t="str">
        <x:v>2026-06-23</x:v>
      </x:c>
    </x:row>
    <x:row r="8" ht="90" customHeight="1">
      <x:c r="A8" s="3" t="str">
        <x:v>D-007</x:v>
      </x:c>
      <x:c r="B8" s="3" t="str">
        <x:v>F-014</x:v>
      </x:c>
      <x:c r="C8" s="3" t="str">
        <x:v>Load configuration tablist lacked complete ARIA and keyboard behavior</x:v>
      </x:c>
      <x:c r="D8" s="3" t="str">
        <x:v>Medium</x:v>
      </x:c>
      <x:c r="E8" s="3" t="str">
        <x:v>Resolved</x:v>
      </x:c>
      <x:c r="F8" s="3" t="str">
        <x:v>Inspect the Chemical / AI Compute load configuration tab markup and keyboard behavior. The container used role="tablist", but the buttons lacked role="tab", aria-controls, roving tabindex, and the panels lacked role="tabpanel"/aria-labelledby/hidden state. Arrow/Home/End keyboard navigation was not handled.</x:v>
      </x:c>
      <x:c r="G8" s="3" t="str">
        <x:v>A tablist should expose tab and tabpanel relationships, keep only the active panel available to assistive technology, and support expected keyboard navigation between tabs.</x:v>
      </x:c>
      <x:c r="H8" s="3" t="str">
        <x:v>Clicking tabs changed the visual panel, but assistive technology did not receive a complete tablist contract and keyboard users could not use standard tablist navigation.</x:v>
      </x:c>
      <x:c r="I8" s="3" t="str">
        <x:v>The tab UI was implemented as styled buttons with partial aria-selected state but without the full tablist semantics or keyboard event handling expected once role="tablist" was declared.</x:v>
      </x:c>
      <x:c r="J8" s="3" t="str">
        <x:v>Added tab IDs, role="tab", aria-controls, roving tabindex, panel IDs, role="tabpanel", aria-labelledby, hidden/aria-hidden sync, and Arrow/Home/End keyboard selection handling.</x:v>
      </x:c>
      <x:c r="K8" s="3" t="str">
        <x:v>Added tests/ui/load-config-tabs.test.js covering runtime sync, hidden panels, roving tabindex, Arrow navigation, Home, and End. Expanded tests/ui/html-contract.test.js to validate static tablist wiring. Isolated UI tests passed 5/5 and 3/3. npm test passed 105/105 and npm run build passed.</x:v>
      </x:c>
      <x:c r="L8" s="3" t="str">
        <x:v>2026-06-23</x:v>
      </x:c>
      <x:c r="M8" s="3" t="str">
        <x:v>2026-06-23</x:v>
      </x:c>
    </x:row>
    <x:row r="9" ht="90" customHeight="1">
      <x:c r="A9" s="3" t="str">
        <x:v>D-008</x:v>
      </x:c>
      <x:c r="B9" s="3" t="str">
        <x:v>F-003</x:v>
      </x:c>
      <x:c r="C9" s="3" t="str">
        <x:v>Collapsible section headers were click-only and lacked expanded state semantics</x:v>
      </x:c>
      <x:c r="D9" s="3" t="str">
        <x:v>Medium</x:v>
      </x:c>
      <x:c r="E9" s="3" t="str">
        <x:v>Resolved</x:v>
      </x:c>
      <x:c r="F9" s="3" t="str">
        <x:v>Inspect or keyboard-test the configuration/results section headers. They were clickable h2 elements bound to click only, with no role, tabindex, aria-expanded, aria-controls, or Enter/Space keyboard activation.</x:v>
      </x:c>
      <x:c r="G9" s="3" t="str">
        <x:v>Collapsible sections should be operable by keyboard and expose controlled panel state to assistive technology.</x:v>
      </x:c>
      <x:c r="H9" s="3" t="str">
        <x:v>Mouse clicks toggled visual section state, but keyboard users could not operate the headers and assistive technology did not receive expanded/collapsed state or controlled panel relationships.</x:v>
      </x:c>
      <x:c r="I9" s="3" t="str">
        <x:v>bindSectionToggles only attached a click listener and toggled the open class, relying entirely on visual CSS state.</x:v>
      </x:c>
      <x:c r="J9" s="3" t="str">
        <x:v>Added runtime section body IDs, role=button, tabindex=0, aria-controls, aria-expanded, body hidden/aria-hidden sync, Enter/Space keyboard activation, and a visible focus style.</x:v>
      </x:c>
      <x:c r="K9" s="3" t="str">
        <x:v>Added tests/ui/section-toggles.test.js covering initialization, click, Enter, Space, hidden body state, and existing body id preservation. node --test tests/ui/section-toggles.test.js passed 3/3. npm test passed 108/108 and npm run build passed.</x:v>
      </x:c>
      <x:c r="L9" s="3" t="str">
        <x:v>2026-06-23</x:v>
      </x:c>
      <x:c r="M9" s="3" t="str">
        <x:v>2026-06-23</x:v>
      </x:c>
    </x:row>
    <x:row r="10" ht="90" customHeight="1">
      <x:c r="A10" s="3" t="str">
        <x:v>D-009</x:v>
      </x:c>
      <x:c r="B10" s="3" t="str">
        <x:v>F-006</x:v>
      </x:c>
      <x:c r="C10" s="3" t="str">
        <x:v>Analysis Cycle mode buttons exposed only visual selected state</x:v>
      </x:c>
      <x:c r="D10" s="3" t="str">
        <x:v>Medium</x:v>
      </x:c>
      <x:c r="E10" s="3" t="str">
        <x:v>Resolved</x:v>
      </x:c>
      <x:c r="F10" s="3" t="str">
        <x:v>Inspect the Annual Average / Specific Day controls and switch between Earth and non-Earth bodies. The buttons changed visual active classes but did not expose pressed state, disabled state, or hidden state for the specific-day details to assistive technology.</x:v>
      </x:c>
      <x:c r="G10" s="3" t="str">
        <x:v>Mode buttons should expose selected/pressed state, disabled specific-day availability, and hidden detail-panel state consistently with the visual UI.</x:v>
      </x:c>
      <x:c r="H10" s="3" t="str">
        <x:v>The UI visually selected Annual Average or Specific Day, but assistive technology could not identify the active mode or whether Specific Day details were available or hidden.</x:v>
      </x:c>
      <x:c r="I10" s="3" t="str">
        <x:v>syncPlanetaryUI updated active classes, disabled property, and inline display style without setting aria-pressed, aria-disabled, hidden, or aria-hidden.</x:v>
      </x:c>
      <x:c r="J10" s="3" t="str">
        <x:v>Added role=group and aria-label to the day mode container, aria-pressed/aria-controls to both mode buttons, aria-disabled for body-specific availability, and hidden/aria-hidden sync for daySpecificControls.</x:v>
      </x:c>
      <x:c r="K10" s="3" t="str">
        <x:v>Added tests/ui/day-mode.test.js covering Earth specific mode and non-Earth fallback/disable behavior. Expanded tests/ui/html-contract.test.js for static day-mode ARIA. Isolated tests passed 2/2 and 6/6. npm test passed 111/111 and npm run build passed.</x:v>
      </x:c>
      <x:c r="L10" s="3" t="str">
        <x:v>2026-06-23</x:v>
      </x:c>
      <x:c r="M10" s="3" t="str">
        <x:v>2026-06-23</x:v>
      </x:c>
    </x:row>
  </x:sheetData>
  <x:pageMargins left="0.7" right="0.7" top="0.75" bottom="0.75" header="0.3" footer="0.3"/>
  <x:tableParts count="1">
    <x:tablePart xmlns:r="http://schemas.openxmlformats.org/officeDocument/2006/relationships" r:id="R0608be677f174b3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2.220000267028809" hidden="0" customWidth="1"/>
    <x:col min="3" max="3" width="14.4399995803833" hidden="0" customWidth="1"/>
    <x:col min="4" max="4" width="24.440000534057617" hidden="0" customWidth="1"/>
    <x:col min="5" max="5" width="43.33000183105469" hidden="0" customWidth="1"/>
    <x:col min="6" max="6" width="16.670000076293945" hidden="0" customWidth="1"/>
    <x:col min="7" max="7" width="43.33000183105469" hidden="0" customWidth="1"/>
  </x:cols>
  <x:sheetData>
    <x:row r="1" ht="25.5" customHeight="1">
      <x:c r="A1" s="5" t="str">
        <x:v>Log ID</x:v>
      </x:c>
      <x:c r="B1" s="5" t="str">
        <x:v>Date</x:v>
      </x:c>
      <x:c r="C1" s="5" t="str">
        <x:v>Category</x:v>
      </x:c>
      <x:c r="D1" s="5" t="str">
        <x:v>Activity</x:v>
      </x:c>
      <x:c r="E1" s="5" t="str">
        <x:v>Steps</x:v>
      </x:c>
      <x:c r="F1" s="5" t="str">
        <x:v>Status</x:v>
      </x:c>
      <x:c r="G1" s="5" t="str">
        <x:v>Evidence</x:v>
      </x:c>
    </x:row>
    <x:row r="2" ht="69" customHeight="1">
      <x:c r="A2" s="3" t="str">
        <x:v>EL-001</x:v>
      </x:c>
      <x:c r="B2" s="3" t="str">
        <x:v>2026-06-23</x:v>
      </x:c>
      <x:c r="C2" s="3" t="str">
        <x:v>Discovery</x:v>
      </x:c>
      <x:c r="D2" s="3" t="str">
        <x:v>Repository inventory</x:v>
      </x:c>
      <x:c r="E2" s="3" t="str">
        <x:v>Read README, index.html, js modules, scripts, and tests.</x:v>
      </x:c>
      <x:c r="F2" s="3" t="str">
        <x:v>Passed</x:v>
      </x:c>
      <x:c r="G2" s="3" t="str">
        <x:v>Identified 45 user-facing feature/workflow/API/configuration areas.</x:v>
      </x:c>
    </x:row>
    <x:row r="3" ht="69" customHeight="1">
      <x:c r="A3" s="3" t="str">
        <x:v>EL-002</x:v>
      </x:c>
      <x:c r="B3" s="3" t="str">
        <x:v>2026-06-23</x:v>
      </x:c>
      <x:c r="C3" s="3" t="str">
        <x:v>Automated</x:v>
      </x:c>
      <x:c r="D3" s="3" t="str">
        <x:v>npm test</x:v>
      </x:c>
      <x:c r="E3" s="3" t="str">
        <x:v>Ran Node test suite before remediation.</x:v>
      </x:c>
      <x:c r="F3" s="3" t="str">
        <x:v>Passed</x:v>
      </x:c>
      <x:c r="G3" s="3" t="str">
        <x:v>81 tests passed; 0 failed.</x:v>
      </x:c>
    </x:row>
    <x:row r="4" ht="69" customHeight="1">
      <x:c r="A4" s="3" t="str">
        <x:v>EL-003</x:v>
      </x:c>
      <x:c r="B4" s="3" t="str">
        <x:v>2026-06-23</x:v>
      </x:c>
      <x:c r="C4" s="3" t="str">
        <x:v>Build</x:v>
      </x:c>
      <x:c r="D4" s="3" t="str">
        <x:v>npm run build</x:v>
      </x:c>
      <x:c r="E4" s="3" t="str">
        <x:v>Built production dist before remediation.</x:v>
      </x:c>
      <x:c r="F4" s="3" t="str">
        <x:v>Failed then documented</x:v>
      </x:c>
      <x:c r="G4" s="3" t="str">
        <x:v>Build completed but dist contained local artifacts; D-001 opened.</x:v>
      </x:c>
    </x:row>
    <x:row r="5" ht="69" customHeight="1">
      <x:c r="A5" s="3" t="str">
        <x:v>EL-004</x:v>
      </x:c>
      <x:c r="B5" s="3" t="str">
        <x:v>2026-06-23</x:v>
      </x:c>
      <x:c r="C5" s="3" t="str">
        <x:v>Browser desktop</x:v>
      </x:c>
      <x:c r="D5" s="3" t="str">
        <x:v>Default app smoke</x:v>
      </x:c>
      <x:c r="E5" s="3" t="str">
        <x:v>Loaded http://localhost:4173, inspected DOM and screenshot.</x:v>
      </x:c>
      <x:c r="F5" s="3" t="str">
        <x:v>Passed</x:v>
      </x:c>
      <x:c r="G5" s="3" t="str">
        <x:v>Header metrics, diagram, map, production, economics, and impact rendered; no browser errors.</x:v>
      </x:c>
    </x:row>
    <x:row r="6" ht="69" customHeight="1">
      <x:c r="A6" s="3" t="str">
        <x:v>EL-005</x:v>
      </x:c>
      <x:c r="B6" s="3" t="str">
        <x:v>2026-06-23</x:v>
      </x:c>
      <x:c r="C6" s="3" t="str">
        <x:v>Browser workflow</x:v>
      </x:c>
      <x:c r="D6" s="3" t="str">
        <x:v>Mars preset</x:v>
      </x:c>
      <x:c r="E6" s="3" t="str">
        <x:v>Selected Mars - Noctis Labyrinthus.</x:v>
      </x:c>
      <x:c r="F6" s="3" t="str">
        <x:v>Passed</x:v>
      </x:c>
      <x:c r="G6" s="3" t="str">
        <x:v>Specific Day disabled, map fallback shown, hash updated, metrics recalculated.</x:v>
      </x:c>
    </x:row>
    <x:row r="7" ht="69" customHeight="1">
      <x:c r="A7" s="3" t="str">
        <x:v>EL-006</x:v>
      </x:c>
      <x:c r="B7" s="3" t="str">
        <x:v>2026-06-23</x:v>
      </x:c>
      <x:c r="C7" s="3" t="str">
        <x:v>Browser workflow</x:v>
      </x:c>
      <x:c r="D7" s="3" t="str">
        <x:v>Reset/share hash</x:v>
      </x:c>
      <x:c r="E7" s="3" t="str">
        <x:v>Clicked reset after non-default hash.</x:v>
      </x:c>
      <x:c r="F7" s="3" t="str">
        <x:v>Passed</x:v>
      </x:c>
      <x:c r="G7" s="3" t="str">
        <x:v>Defaults restored and hash cleared.</x:v>
      </x:c>
    </x:row>
    <x:row r="8" ht="69" customHeight="1">
      <x:c r="A8" s="3" t="str">
        <x:v>EL-007</x:v>
      </x:c>
      <x:c r="B8" s="3" t="str">
        <x:v>2026-06-23</x:v>
      </x:c>
      <x:c r="C8" s="3" t="str">
        <x:v>Browser workflow</x:v>
      </x:c>
      <x:c r="D8" s="3" t="str">
        <x:v>Saved site</x:v>
      </x:c>
      <x:c r="E8" s="3" t="str">
        <x:v>Switched to Custom location, saved QA Browser Site, then removed it.</x:v>
      </x:c>
      <x:c r="F8" s="3" t="str">
        <x:v>Passed</x:v>
      </x:c>
      <x:c r="G8" s="3" t="str">
        <x:v>Saved option selected with s:&lt;id&gt; value and removed cleanly.</x:v>
      </x:c>
    </x:row>
    <x:row r="9" ht="69" customHeight="1">
      <x:c r="A9" s="3" t="str">
        <x:v>EL-008</x:v>
      </x:c>
      <x:c r="B9" s="3" t="str">
        <x:v>2026-06-23</x:v>
      </x:c>
      <x:c r="C9" s="3" t="str">
        <x:v>Browser workflow</x:v>
      </x:c>
      <x:c r="D9" s="3" t="str">
        <x:v>AI compute</x:v>
      </x:c>
      <x:c r="E9" s="3" t="str">
        <x:v>Opened AI tab and enabled AI Compute.</x:v>
      </x:c>
      <x:c r="F9" s="3" t="str">
        <x:v>Passed</x:v>
      </x:c>
      <x:c r="G9" s="3" t="str">
        <x:v>AI config active, AI tokens appeared, metrics/hash recalculated.</x:v>
      </x:c>
    </x:row>
    <x:row r="10" ht="69" customHeight="1">
      <x:c r="A10" s="3" t="str">
        <x:v>EL-009</x:v>
      </x:c>
      <x:c r="B10" s="3" t="str">
        <x:v>2026-06-23</x:v>
      </x:c>
      <x:c r="C10" s="3" t="str">
        <x:v>Browser workflow</x:v>
      </x:c>
      <x:c r="D10" s="3" t="str">
        <x:v>Policy and financing</x:v>
      </x:c>
      <x:c r="E10" s="3" t="str">
        <x:v>Selected US 48E solar ITC and enabled debt financing.</x:v>
      </x:c>
      <x:c r="F10" s="3" t="str">
        <x:v>Passed</x:v>
      </x:c>
      <x:c r="G10" s="3" t="str">
        <x:v>Dynamic policy inputs/caveats rendered and header switched to Equity IRR.</x:v>
      </x:c>
    </x:row>
    <x:row r="11" ht="69" customHeight="1">
      <x:c r="A11" s="3" t="str">
        <x:v>EL-010</x:v>
      </x:c>
      <x:c r="B11" s="3" t="str">
        <x:v>2026-06-23</x:v>
      </x:c>
      <x:c r="C11" s="3" t="str">
        <x:v>Browser workflow</x:v>
      </x:c>
      <x:c r="D11" s="3" t="str">
        <x:v>MTG exploratory route</x:v>
      </x:c>
      <x:c r="E11" s="3" t="str">
        <x:v>Enabled MTG route.</x:v>
      </x:c>
      <x:c r="F11" s="3" t="str">
        <x:v>Passed</x:v>
      </x:c>
      <x:c r="G11" s="3" t="str">
        <x:v>Upstream dependencies auto-enabled; exploratory market/O&amp;M and outputs appeared.</x:v>
      </x:c>
    </x:row>
    <x:row r="12" ht="69" customHeight="1">
      <x:c r="A12" s="3" t="str">
        <x:v>EL-011</x:v>
      </x:c>
      <x:c r="B12" s="3" t="str">
        <x:v>2026-06-23</x:v>
      </x:c>
      <x:c r="C12" s="3" t="str">
        <x:v>Browser responsive</x:v>
      </x:c>
      <x:c r="D12" s="3" t="str">
        <x:v>390x844 mobile panes</x:v>
      </x:c>
      <x:c r="E12" s="3" t="str">
        <x:v>Tested Overview, Inputs, and Results pane toggles.</x:v>
      </x:c>
      <x:c r="F12" s="3" t="str">
        <x:v>Passed</x:v>
      </x:c>
      <x:c r="G12" s="3" t="str">
        <x:v>Display, aria-expanded, and aria-hidden states updated correctly; mobile screenshot captured.</x:v>
      </x:c>
    </x:row>
    <x:row r="13" ht="69" customHeight="1">
      <x:c r="A13" s="3" t="str">
        <x:v>EL-012</x:v>
      </x:c>
      <x:c r="B13" s="3" t="str">
        <x:v>2026-06-23</x:v>
      </x:c>
      <x:c r="C13" s="3" t="str">
        <x:v>Server</x:v>
      </x:c>
      <x:c r="D13" s="3" t="str">
        <x:v>Local static server probes</x:v>
      </x:c>
      <x:c r="E13" s="3" t="str">
        <x:v>Fetched root, missing file, and encoded traversal paths.</x:v>
      </x:c>
      <x:c r="F13" s="3" t="str">
        <x:v>Passed</x:v>
      </x:c>
      <x:c r="G13" s="3" t="str">
        <x:v>Root 200, missing 404, encoded traversal did not escape static root.</x:v>
      </x:c>
    </x:row>
    <x:row r="14" ht="69" customHeight="1">
      <x:c r="A14" s="3" t="str">
        <x:v>EL-013</x:v>
      </x:c>
      <x:c r="B14" s="3" t="str">
        <x:v>2026-06-23</x:v>
      </x:c>
      <x:c r="C14" s="3" t="str">
        <x:v>Remediation</x:v>
      </x:c>
      <x:c r="D14" s="3" t="str">
        <x:v>Patch scripts/build.mjs</x:v>
      </x:c>
      <x:c r="E14" s="3" t="str">
        <x:v>Added production packaging exclusions.</x:v>
      </x:c>
      <x:c r="F14" s="3" t="str">
        <x:v>Passed</x:v>
      </x:c>
      <x:c r="G14" s="3" t="str">
        <x:v>Small scoped build-script fix implemented.</x:v>
      </x:c>
    </x:row>
    <x:row r="15" ht="69" customHeight="1">
      <x:c r="A15" s="3" t="str">
        <x:v>EL-014</x:v>
      </x:c>
      <x:c r="B15" s="3" t="str">
        <x:v>2026-06-23</x:v>
      </x:c>
      <x:c r="C15" s="3" t="str">
        <x:v>Regression</x:v>
      </x:c>
      <x:c r="D15" s="3" t="str">
        <x:v>npm run build</x:v>
      </x:c>
      <x:c r="E15" s="3" t="str">
        <x:v>Rebuilt after remediation.</x:v>
      </x:c>
      <x:c r="F15" s="3" t="str">
        <x:v>Passed</x:v>
      </x:c>
      <x:c r="G15" s="3" t="str">
        <x:v>dist-clean-dev-artifacts check passed.</x:v>
      </x:c>
    </x:row>
    <x:row r="16" ht="69" customHeight="1">
      <x:c r="A16" s="3" t="str">
        <x:v>EL-015</x:v>
      </x:c>
      <x:c r="B16" s="3" t="str">
        <x:v>2026-06-23</x:v>
      </x:c>
      <x:c r="C16" s="3" t="str">
        <x:v>Regression</x:v>
      </x:c>
      <x:c r="D16" s="3" t="str">
        <x:v>npm test</x:v>
      </x:c>
      <x:c r="E16" s="3" t="str">
        <x:v>Re-ran full automated suite after remediation.</x:v>
      </x:c>
      <x:c r="F16" s="3" t="str">
        <x:v>Passed</x:v>
      </x:c>
      <x:c r="G16" s="3" t="str">
        <x:v>81 tests passed; 0 failed.</x:v>
      </x:c>
    </x:row>
    <x:row r="17" ht="69" customHeight="1">
      <x:c r="A17" s="3" t="str">
        <x:v>EL-016</x:v>
      </x:c>
      <x:c r="B17" s="3" t="str">
        <x:v>2026-06-23</x:v>
      </x:c>
      <x:c r="C17" s="3" t="str">
        <x:v>Regression</x:v>
      </x:c>
      <x:c r="D17" s="3" t="str">
        <x:v>dist preview browser smoke</x:v>
      </x:c>
      <x:c r="E17" s="3" t="str">
        <x:v>Served dist at http://localhost:4174 and loaded app.</x:v>
      </x:c>
      <x:c r="F17" s="3" t="str">
        <x:v>Passed</x:v>
      </x:c>
      <x:c r="G17" s="3" t="str">
        <x:v>27 versioned local assets observed; diagram/map/production/header rendered; no browser errors.</x:v>
      </x:c>
    </x:row>
    <x:row r="18" ht="69" customHeight="1">
      <x:c r="A18" s="3" t="str">
        <x:v>EL-017</x:v>
      </x:c>
      <x:c r="B18" s="3" t="str">
        <x:v>2026-06-23</x:v>
      </x:c>
      <x:c r="C18" s="3" t="str">
        <x:v>Recursive loop 2</x:v>
      </x:c>
      <x:c r="D18" s="3" t="str">
        <x:v>Add build packaging regression test</x:v>
      </x:c>
      <x:c r="E18" s="3" t="str">
        <x:v>Created tests/build/build.test.js and wired it into npm test.</x:v>
      </x:c>
      <x:c r="F18" s="3" t="str">
        <x:v>Passed</x:v>
      </x:c>
      <x:c r="G18" s="3" t="str">
        <x:v>The test runs scripts/build.mjs and asserts required app assets exist while local/tooling artifacts are excluded.</x:v>
      </x:c>
    </x:row>
    <x:row r="19" ht="69" customHeight="1">
      <x:c r="A19" s="3" t="str">
        <x:v>EL-018</x:v>
      </x:c>
      <x:c r="B19" s="3" t="str">
        <x:v>2026-06-23</x:v>
      </x:c>
      <x:c r="C19" s="3" t="str">
        <x:v>Regression</x:v>
      </x:c>
      <x:c r="D19" s="3" t="str">
        <x:v>npm test</x:v>
      </x:c>
      <x:c r="E19" s="3" t="str">
        <x:v>Re-ran full package test suite after adding build coverage.</x:v>
      </x:c>
      <x:c r="F19" s="3" t="str">
        <x:v>Passed</x:v>
      </x:c>
      <x:c r="G19" s="3" t="str">
        <x:v>82 tests passed; 0 failed.</x:v>
      </x:c>
    </x:row>
    <x:row r="20" ht="69" customHeight="1">
      <x:c r="A20" s="3" t="str">
        <x:v>EL-019</x:v>
      </x:c>
      <x:c r="B20" s="3" t="str">
        <x:v>2026-06-23</x:v>
      </x:c>
      <x:c r="C20" s="3" t="str">
        <x:v>Regression</x:v>
      </x:c>
      <x:c r="D20" s="3" t="str">
        <x:v>npm run build</x:v>
      </x:c>
      <x:c r="E20" s="3" t="str">
        <x:v>Rebuilt production dist after adding regression coverage.</x:v>
      </x:c>
      <x:c r="F20" s="3" t="str">
        <x:v>Passed</x:v>
      </x:c>
      <x:c r="G20" s="3" t="str">
        <x:v>Build completed with asset version 554fd2e.</x:v>
      </x:c>
    </x:row>
    <x:row r="21" ht="69" customHeight="1">
      <x:c r="A21" s="3" t="str">
        <x:v>EL-020</x:v>
      </x:c>
      <x:c r="B21" s="3" t="str">
        <x:v>2026-06-23</x:v>
      </x:c>
      <x:c r="C21" s="3" t="str">
        <x:v>Recursive loop 3</x:v>
      </x:c>
      <x:c r="D21" s="3" t="str">
        <x:v>Add static server regression tests</x:v>
      </x:c>
      <x:c r="E21" s="3" t="str">
        <x:v>Refactored scripts/dev.mjs into import-safe helpers and created tests/server/dev-server.test.js.</x:v>
      </x:c>
      <x:c r="F21" s="3" t="str">
        <x:v>Passed</x:v>
      </x:c>
      <x:c r="G21" s="3" t="str">
        <x:v>Static path resolution, encoded traversal containment, malformed URL 400, MIME, cache, 404, and directory index behavior are now automated.</x:v>
      </x:c>
    </x:row>
    <x:row r="22" ht="69" customHeight="1">
      <x:c r="A22" s="3" t="str">
        <x:v>EL-021</x:v>
      </x:c>
      <x:c r="B22" s="3" t="str">
        <x:v>2026-06-23</x:v>
      </x:c>
      <x:c r="C22" s="3" t="str">
        <x:v>Regression</x:v>
      </x:c>
      <x:c r="D22" s="3" t="str">
        <x:v>node --test tests/server/dev-server.test.js</x:v>
      </x:c>
      <x:c r="E22" s="3" t="str">
        <x:v>Ran new static-server tests in isolation.</x:v>
      </x:c>
      <x:c r="F22" s="3" t="str">
        <x:v>Passed</x:v>
      </x:c>
      <x:c r="G22" s="3" t="str">
        <x:v>2 tests passed; 0 failed.</x:v>
      </x:c>
    </x:row>
    <x:row r="23" ht="69" customHeight="1">
      <x:c r="A23" s="3" t="str">
        <x:v>EL-022</x:v>
      </x:c>
      <x:c r="B23" s="3" t="str">
        <x:v>2026-06-23</x:v>
      </x:c>
      <x:c r="C23" s="3" t="str">
        <x:v>Regression</x:v>
      </x:c>
      <x:c r="D23" s="3" t="str">
        <x:v>npm test</x:v>
      </x:c>
      <x:c r="E23" s="3" t="str">
        <x:v>Re-ran full package test suite sequentially after server refactor.</x:v>
      </x:c>
      <x:c r="F23" s="3" t="str">
        <x:v>Passed</x:v>
      </x:c>
      <x:c r="G23" s="3" t="str">
        <x:v>84 tests passed; 0 failed.</x:v>
      </x:c>
    </x:row>
    <x:row r="24" ht="69" customHeight="1">
      <x:c r="A24" s="3" t="str">
        <x:v>EL-023</x:v>
      </x:c>
      <x:c r="B24" s="3" t="str">
        <x:v>2026-06-23</x:v>
      </x:c>
      <x:c r="C24" s="3" t="str">
        <x:v>Regression</x:v>
      </x:c>
      <x:c r="D24" s="3" t="str">
        <x:v>npm run build</x:v>
      </x:c>
      <x:c r="E24" s="3" t="str">
        <x:v>Rebuilt production dist after server/test changes.</x:v>
      </x:c>
      <x:c r="F24" s="3" t="str">
        <x:v>Passed</x:v>
      </x:c>
      <x:c r="G24" s="3" t="str">
        <x:v>Build completed with asset version 554fd2e.</x:v>
      </x:c>
    </x:row>
    <x:row r="25" ht="69" customHeight="1">
      <x:c r="A25" s="3" t="str">
        <x:v>EL-024</x:v>
      </x:c>
      <x:c r="B25" s="3" t="str">
        <x:v>2026-06-23</x:v>
      </x:c>
      <x:c r="C25" s="3" t="str">
        <x:v>Recursive loop 4</x:v>
      </x:c>
      <x:c r="D25" s="3" t="str">
        <x:v>Add static UI contract tests</x:v>
      </x:c>
      <x:c r="E25" s="3" t="str">
        <x:v>Added tests/ui/html-contract.test.js and wired it into npm test.</x:v>
      </x:c>
      <x:c r="F25" s="3" t="str">
        <x:v>Passed</x:v>
      </x:c>
      <x:c r="G25" s="3" t="str">
        <x:v>Required UI anchors, mobile target wiring, safe external links, button types, and script order are now automated.</x:v>
      </x:c>
    </x:row>
    <x:row r="26" ht="69" customHeight="1">
      <x:c r="A26" s="3" t="str">
        <x:v>EL-025</x:v>
      </x:c>
      <x:c r="B26" s="3" t="str">
        <x:v>2026-06-23</x:v>
      </x:c>
      <x:c r="C26" s="3" t="str">
        <x:v>Remediation</x:v>
      </x:c>
      <x:c r="D26" s="3" t="str">
        <x:v>Patch day-control button types</x:v>
      </x:c>
      <x:c r="E26" s="3" t="str">
        <x:v>Added explicit type="button" to Annual Average, Specific Day, and four day-preset controls.</x:v>
      </x:c>
      <x:c r="F26" s="3" t="str">
        <x:v>Passed</x:v>
      </x:c>
      <x:c r="G26" s="3" t="str">
        <x:v>D-003 resolved.</x:v>
      </x:c>
    </x:row>
    <x:row r="27" ht="69" customHeight="1">
      <x:c r="A27" s="3" t="str">
        <x:v>EL-026</x:v>
      </x:c>
      <x:c r="B27" s="3" t="str">
        <x:v>2026-06-23</x:v>
      </x:c>
      <x:c r="C27" s="3" t="str">
        <x:v>Regression</x:v>
      </x:c>
      <x:c r="D27" s="3" t="str">
        <x:v>node --test tests/ui/html-contract.test.js</x:v>
      </x:c>
      <x:c r="E27" s="3" t="str">
        <x:v>Ran new static UI contract tests in isolation.</x:v>
      </x:c>
      <x:c r="F27" s="3" t="str">
        <x:v>Passed</x:v>
      </x:c>
      <x:c r="G27" s="3" t="str">
        <x:v>4 tests passed; 0 failed.</x:v>
      </x:c>
    </x:row>
    <x:row r="28" ht="69" customHeight="1">
      <x:c r="A28" s="3" t="str">
        <x:v>EL-027</x:v>
      </x:c>
      <x:c r="B28" s="3" t="str">
        <x:v>2026-06-23</x:v>
      </x:c>
      <x:c r="C28" s="3" t="str">
        <x:v>Regression</x:v>
      </x:c>
      <x:c r="D28" s="3" t="str">
        <x:v>npm test</x:v>
      </x:c>
      <x:c r="E28" s="3" t="str">
        <x:v>Re-ran full package test suite sequentially after UI contract coverage.</x:v>
      </x:c>
      <x:c r="F28" s="3" t="str">
        <x:v>Passed</x:v>
      </x:c>
      <x:c r="G28" s="3" t="str">
        <x:v>88 tests passed; 0 failed.</x:v>
      </x:c>
    </x:row>
    <x:row r="29" ht="69" customHeight="1">
      <x:c r="A29" s="3" t="str">
        <x:v>EL-028</x:v>
      </x:c>
      <x:c r="B29" s="3" t="str">
        <x:v>2026-06-23</x:v>
      </x:c>
      <x:c r="C29" s="3" t="str">
        <x:v>Regression</x:v>
      </x:c>
      <x:c r="D29" s="3" t="str">
        <x:v>npm run build</x:v>
      </x:c>
      <x:c r="E29" s="3" t="str">
        <x:v>Rebuilt production dist after UI/test changes.</x:v>
      </x:c>
      <x:c r="F29" s="3" t="str">
        <x:v>Passed</x:v>
      </x:c>
      <x:c r="G29" s="3" t="str">
        <x:v>Build completed with asset version 554fd2e.</x:v>
      </x:c>
    </x:row>
    <x:row r="30" ht="69" customHeight="1">
      <x:c r="A30" s="3" t="str">
        <x:v>EL-029</x:v>
      </x:c>
      <x:c r="B30" s="3" t="str">
        <x:v>2026-06-23</x:v>
      </x:c>
      <x:c r="C30" s="3" t="str">
        <x:v>Recursive loop 5</x:v>
      </x:c>
      <x:c r="D30" s="3" t="str">
        <x:v>Add policy catalog regression coverage</x:v>
      </x:c>
      <x:c r="E30" s="3" t="str">
        <x:v>Exposed PolicyModel through the calculation harness and added catalog-wide policy metadata/input/economics tests.</x:v>
      </x:c>
      <x:c r="F30" s="3" t="str">
        <x:v>Passed</x:v>
      </x:c>
      <x:c r="G30" s="3" t="str">
        <x:v>All exposed policy groups, schemes, dynamic input definitions, and finite economics outputs are now covered.</x:v>
      </x:c>
    </x:row>
    <x:row r="31" ht="69" customHeight="1">
      <x:c r="A31" s="3" t="str">
        <x:v>EL-030</x:v>
      </x:c>
      <x:c r="B31" s="3" t="str">
        <x:v>2026-06-23</x:v>
      </x:c>
      <x:c r="C31" s="3" t="str">
        <x:v>Regression</x:v>
      </x:c>
      <x:c r="D31" s="3" t="str">
        <x:v>node --test tests/calculations/calculations.test.js</x:v>
      </x:c>
      <x:c r="E31" s="3" t="str">
        <x:v>Ran the expanded calculation suite in isolation.</x:v>
      </x:c>
      <x:c r="F31" s="3" t="str">
        <x:v>Passed</x:v>
      </x:c>
      <x:c r="G31" s="3" t="str">
        <x:v>68 tests passed; 0 failed.</x:v>
      </x:c>
    </x:row>
    <x:row r="32" ht="69" customHeight="1">
      <x:c r="A32" s="3" t="str">
        <x:v>EL-031</x:v>
      </x:c>
      <x:c r="B32" s="3" t="str">
        <x:v>2026-06-23</x:v>
      </x:c>
      <x:c r="C32" s="3" t="str">
        <x:v>Regression</x:v>
      </x:c>
      <x:c r="D32" s="3" t="str">
        <x:v>npm test</x:v>
      </x:c>
      <x:c r="E32" s="3" t="str">
        <x:v>Re-ran full package test suite sequentially after policy catalog coverage.</x:v>
      </x:c>
      <x:c r="F32" s="3" t="str">
        <x:v>Passed</x:v>
      </x:c>
      <x:c r="G32" s="3" t="str">
        <x:v>90 tests passed; 0 failed.</x:v>
      </x:c>
    </x:row>
    <x:row r="33" ht="69" customHeight="1">
      <x:c r="A33" s="3" t="str">
        <x:v>EL-032</x:v>
      </x:c>
      <x:c r="B33" s="3" t="str">
        <x:v>2026-06-23</x:v>
      </x:c>
      <x:c r="C33" s="3" t="str">
        <x:v>Regression</x:v>
      </x:c>
      <x:c r="D33" s="3" t="str">
        <x:v>npm run build</x:v>
      </x:c>
      <x:c r="E33" s="3" t="str">
        <x:v>Rebuilt production dist after policy test changes.</x:v>
      </x:c>
      <x:c r="F33" s="3" t="str">
        <x:v>Passed</x:v>
      </x:c>
      <x:c r="G33" s="3" t="str">
        <x:v>Build completed with asset version 554fd2e.</x:v>
      </x:c>
    </x:row>
    <x:row r="34" ht="69" customHeight="1">
      <x:c r="A34" s="3" t="str">
        <x:v>EL-033</x:v>
      </x:c>
      <x:c r="B34" s="3" t="str">
        <x:v>2026-06-23</x:v>
      </x:c>
      <x:c r="C34" s="3" t="str">
        <x:v>Recursive loop 6</x:v>
      </x:c>
      <x:c r="D34" s="3" t="str">
        <x:v>Audit external chart dependency fallback</x:v>
      </x:c>
      <x:c r="E34" s="3" t="str">
        <x:v>Reviewed Chart.js and Leaflet dependency paths and identified missing Chart.js guards in chart rendering methods.</x:v>
      </x:c>
      <x:c r="F34" s="3" t="str">
        <x:v>Failed then documented</x:v>
      </x:c>
      <x:c r="G34" s="3" t="str">
        <x:v>D-004 opened for Chart.js-unavailable runtime failure path.</x:v>
      </x:c>
    </x:row>
    <x:row r="35" ht="69" customHeight="1">
      <x:c r="A35" s="3" t="str">
        <x:v>EL-034</x:v>
      </x:c>
      <x:c r="B35" s="3" t="str">
        <x:v>2026-06-23</x:v>
      </x:c>
      <x:c r="C35" s="3" t="str">
        <x:v>Remediation</x:v>
      </x:c>
      <x:c r="D35" s="3" t="str">
        <x:v>Patch chart runtime fallback</x:v>
      </x:c>
      <x:c r="E35" s="3" t="str">
        <x:v>Added chart-runtime guards, visible chart fallback styling, chart cleanup, and sensitivity no-sweep behavior when Chart.js is unavailable.</x:v>
      </x:c>
      <x:c r="F35" s="3" t="str">
        <x:v>Passed</x:v>
      </x:c>
      <x:c r="G35" s="3" t="str">
        <x:v>D-004 resolved with focused app-charts/style/test changes.</x:v>
      </x:c>
    </x:row>
    <x:row r="36" ht="69" customHeight="1">
      <x:c r="A36" s="3" t="str">
        <x:v>EL-035</x:v>
      </x:c>
      <x:c r="B36" s="3" t="str">
        <x:v>2026-06-23</x:v>
      </x:c>
      <x:c r="C36" s="3" t="str">
        <x:v>Regression</x:v>
      </x:c>
      <x:c r="D36" s="3" t="str">
        <x:v>node --test tests/renderers/charts.test.js</x:v>
      </x:c>
      <x:c r="E36" s="3" t="str">
        <x:v>Ran new chart fallback renderer tests in isolation.</x:v>
      </x:c>
      <x:c r="F36" s="3" t="str">
        <x:v>Passed</x:v>
      </x:c>
      <x:c r="G36" s="3" t="str">
        <x:v>3 tests passed; 0 failed.</x:v>
      </x:c>
    </x:row>
    <x:row r="37" ht="69" customHeight="1">
      <x:c r="A37" s="3" t="str">
        <x:v>EL-036</x:v>
      </x:c>
      <x:c r="B37" s="3" t="str">
        <x:v>2026-06-23</x:v>
      </x:c>
      <x:c r="C37" s="3" t="str">
        <x:v>Regression</x:v>
      </x:c>
      <x:c r="D37" s="3" t="str">
        <x:v>npm test</x:v>
      </x:c>
      <x:c r="E37" s="3" t="str">
        <x:v>Re-ran full package test suite sequentially after chart fallback remediation.</x:v>
      </x:c>
      <x:c r="F37" s="3" t="str">
        <x:v>Passed</x:v>
      </x:c>
      <x:c r="G37" s="3" t="str">
        <x:v>93 tests passed; 0 failed.</x:v>
      </x:c>
    </x:row>
    <x:row r="38" ht="69" customHeight="1">
      <x:c r="A38" s="3" t="str">
        <x:v>EL-037</x:v>
      </x:c>
      <x:c r="B38" s="3" t="str">
        <x:v>2026-06-23</x:v>
      </x:c>
      <x:c r="C38" s="3" t="str">
        <x:v>Regression</x:v>
      </x:c>
      <x:c r="D38" s="3" t="str">
        <x:v>npm run build</x:v>
      </x:c>
      <x:c r="E38" s="3" t="str">
        <x:v>Rebuilt production dist after chart fallback changes.</x:v>
      </x:c>
      <x:c r="F38" s="3" t="str">
        <x:v>Passed</x:v>
      </x:c>
      <x:c r="G38" s="3" t="str">
        <x:v>Build completed with asset version 554fd2e.</x:v>
      </x:c>
    </x:row>
    <x:row r="39" ht="69" customHeight="1">
      <x:c r="A39" s="3" t="str">
        <x:v>EL-038</x:v>
      </x:c>
      <x:c r="B39" s="3" t="str">
        <x:v>2026-06-23</x:v>
      </x:c>
      <x:c r="C39" s="3" t="str">
        <x:v>Recursive loop 7</x:v>
      </x:c>
      <x:c r="D39" s="3" t="str">
        <x:v>Audit map dependency fallback</x:v>
      </x:c>
      <x:c r="E39" s="3" t="str">
        <x:v>Reviewed Leaflet and Esri tile dependency paths and identified missing tileerror handling after map initialization.</x:v>
      </x:c>
      <x:c r="F39" s="3" t="str">
        <x:v>Failed then documented</x:v>
      </x:c>
      <x:c r="G39" s="3" t="str">
        <x:v>D-005 opened for Esri tile imagery failure fallback.</x:v>
      </x:c>
    </x:row>
    <x:row r="40" ht="69" customHeight="1">
      <x:c r="A40" s="3" t="str">
        <x:v>EL-039</x:v>
      </x:c>
      <x:c r="B40" s="3" t="str">
        <x:v>2026-06-23</x:v>
      </x:c>
      <x:c r="C40" s="3" t="str">
        <x:v>Remediation</x:v>
      </x:c>
      <x:c r="D40" s="3" t="str">
        <x:v>Patch site-map tile fallback</x:v>
      </x:c>
      <x:c r="E40" s="3" t="str">
        <x:v>Stored the Leaflet tile layer and added a tileerror handler that shows the existing map fallback surface while retaining footprint metrics.</x:v>
      </x:c>
      <x:c r="F40" s="3" t="str">
        <x:v>Passed</x:v>
      </x:c>
      <x:c r="G40" s="3" t="str">
        <x:v>D-005 resolved with focused app-site-map/app/test changes.</x:v>
      </x:c>
    </x:row>
    <x:row r="41" ht="69" customHeight="1">
      <x:c r="A41" s="3" t="str">
        <x:v>EL-040</x:v>
      </x:c>
      <x:c r="B41" s="3" t="str">
        <x:v>2026-06-23</x:v>
      </x:c>
      <x:c r="C41" s="3" t="str">
        <x:v>Regression</x:v>
      </x:c>
      <x:c r="D41" s="3" t="str">
        <x:v>node --test tests/renderers/site-map.test.js</x:v>
      </x:c>
      <x:c r="E41" s="3" t="str">
        <x:v>Ran new site-map fallback renderer tests in isolation.</x:v>
      </x:c>
      <x:c r="F41" s="3" t="str">
        <x:v>Passed</x:v>
      </x:c>
      <x:c r="G41" s="3" t="str">
        <x:v>4 tests passed; 0 failed.</x:v>
      </x:c>
    </x:row>
    <x:row r="42" ht="69" customHeight="1">
      <x:c r="A42" s="3" t="str">
        <x:v>EL-041</x:v>
      </x:c>
      <x:c r="B42" s="3" t="str">
        <x:v>2026-06-23</x:v>
      </x:c>
      <x:c r="C42" s="3" t="str">
        <x:v>Regression</x:v>
      </x:c>
      <x:c r="D42" s="3" t="str">
        <x:v>npm test</x:v>
      </x:c>
      <x:c r="E42" s="3" t="str">
        <x:v>Re-ran full package test suite sequentially after map fallback remediation.</x:v>
      </x:c>
      <x:c r="F42" s="3" t="str">
        <x:v>Passed</x:v>
      </x:c>
      <x:c r="G42" s="3" t="str">
        <x:v>97 tests passed; 0 failed.</x:v>
      </x:c>
    </x:row>
    <x:row r="43" ht="69" customHeight="1">
      <x:c r="A43" s="3" t="str">
        <x:v>EL-042</x:v>
      </x:c>
      <x:c r="B43" s="3" t="str">
        <x:v>2026-06-23</x:v>
      </x:c>
      <x:c r="C43" s="3" t="str">
        <x:v>Regression</x:v>
      </x:c>
      <x:c r="D43" s="3" t="str">
        <x:v>npm run build</x:v>
      </x:c>
      <x:c r="E43" s="3" t="str">
        <x:v>Rebuilt production dist after map fallback changes.</x:v>
      </x:c>
      <x:c r="F43" s="3" t="str">
        <x:v>Passed</x:v>
      </x:c>
      <x:c r="G43" s="3" t="str">
        <x:v>Build completed with asset version 554fd2e.</x:v>
      </x:c>
    </x:row>
    <x:row r="44" ht="69" customHeight="1">
      <x:c r="A44" s="3" t="str">
        <x:v>EL-043</x:v>
      </x:c>
      <x:c r="B44" s="3" t="str">
        <x:v>2026-06-23</x:v>
      </x:c>
      <x:c r="C44" s="3" t="str">
        <x:v>Recursive loop 8</x:v>
      </x:c>
      <x:c r="D44" s="3" t="str">
        <x:v>Audit optimizer worker bootstrap and request cleanup</x:v>
      </x:c>
      <x:c r="E44" s="3" t="str">
        <x:v>Reviewed asset-path, optimizer, optimizer-worker, and calculation-runtime bootstrap code paths.</x:v>
      </x:c>
      <x:c r="F44" s="3" t="str">
        <x:v>Failed then documented</x:v>
      </x:c>
      <x:c r="G44" s="3" t="str">
        <x:v>D-006 opened for stale pending optimizer requests after synchronous Worker postMessage failure.</x:v>
      </x:c>
    </x:row>
    <x:row r="45" ht="69" customHeight="1">
      <x:c r="A45" s="3" t="str">
        <x:v>EL-044</x:v>
      </x:c>
      <x:c r="B45" s="3" t="str">
        <x:v>2026-06-23</x:v>
      </x:c>
      <x:c r="C45" s="3" t="str">
        <x:v>Remediation</x:v>
      </x:c>
      <x:c r="D45" s="3" t="str">
        <x:v>Patch optimizer request cleanup</x:v>
      </x:c>
      <x:c r="E45" s="3" t="str">
        <x:v>Wrapped worker.postMessage in cleanup-aware error handling and added renderer-level optimizer bootstrap tests.</x:v>
      </x:c>
      <x:c r="F45" s="3" t="str">
        <x:v>Passed</x:v>
      </x:c>
      <x:c r="G45" s="3" t="str">
        <x:v>D-006 resolved with focused app-optimizer/package/test changes.</x:v>
      </x:c>
    </x:row>
    <x:row r="46" ht="69" customHeight="1">
      <x:c r="A46" s="3" t="str">
        <x:v>EL-045</x:v>
      </x:c>
      <x:c r="B46" s="3" t="str">
        <x:v>2026-06-23</x:v>
      </x:c>
      <x:c r="C46" s="3" t="str">
        <x:v>Regression</x:v>
      </x:c>
      <x:c r="D46" s="3" t="str">
        <x:v>node --test tests/renderers/optimizer.test.js</x:v>
      </x:c>
      <x:c r="E46" s="3" t="str">
        <x:v>Ran new optimizer bootstrap and fallback tests in isolation.</x:v>
      </x:c>
      <x:c r="F46" s="3" t="str">
        <x:v>Passed</x:v>
      </x:c>
      <x:c r="G46" s="3" t="str">
        <x:v>4 tests passed; 0 failed.</x:v>
      </x:c>
    </x:row>
    <x:row r="47" ht="69" customHeight="1">
      <x:c r="A47" s="3" t="str">
        <x:v>EL-046</x:v>
      </x:c>
      <x:c r="B47" s="3" t="str">
        <x:v>2026-06-23</x:v>
      </x:c>
      <x:c r="C47" s="3" t="str">
        <x:v>Regression</x:v>
      </x:c>
      <x:c r="D47" s="3" t="str">
        <x:v>npm test</x:v>
      </x:c>
      <x:c r="E47" s="3" t="str">
        <x:v>Re-ran full package test suite sequentially after optimizer request cleanup remediation.</x:v>
      </x:c>
      <x:c r="F47" s="3" t="str">
        <x:v>Passed</x:v>
      </x:c>
      <x:c r="G47" s="3" t="str">
        <x:v>101 tests passed; 0 failed.</x:v>
      </x:c>
    </x:row>
    <x:row r="48" ht="69" customHeight="1">
      <x:c r="A48" s="3" t="str">
        <x:v>EL-047</x:v>
      </x:c>
      <x:c r="B48" s="3" t="str">
        <x:v>2026-06-23</x:v>
      </x:c>
      <x:c r="C48" s="3" t="str">
        <x:v>Regression</x:v>
      </x:c>
      <x:c r="D48" s="3" t="str">
        <x:v>npm run build</x:v>
      </x:c>
      <x:c r="E48" s="3" t="str">
        <x:v>Rebuilt production dist after optimizer request cleanup changes.</x:v>
      </x:c>
      <x:c r="F48" s="3" t="str">
        <x:v>Passed</x:v>
      </x:c>
      <x:c r="G48" s="3" t="str">
        <x:v>Build completed with asset version 554fd2e.</x:v>
      </x:c>
    </x:row>
    <x:row r="49" ht="69" customHeight="1">
      <x:c r="A49" s="3" t="str">
        <x:v>EL-048</x:v>
      </x:c>
      <x:c r="B49" s="3" t="str">
        <x:v>2026-06-23</x:v>
      </x:c>
      <x:c r="C49" s="3" t="str">
        <x:v>Recursive loop 9</x:v>
      </x:c>
      <x:c r="D49" s="3" t="str">
        <x:v>Audit load-configuration tab accessibility</x:v>
      </x:c>
      <x:c r="E49" s="3" t="str">
        <x:v>Reviewed load tab markup, CSS visibility, and sync behavior for Chemical / AI Compute panels.</x:v>
      </x:c>
      <x:c r="F49" s="3" t="str">
        <x:v>Failed then documented</x:v>
      </x:c>
      <x:c r="G49" s="3" t="str">
        <x:v>D-007 opened for incomplete tablist semantics and missing keyboard navigation.</x:v>
      </x:c>
    </x:row>
    <x:row r="50" ht="69" customHeight="1">
      <x:c r="A50" s="3" t="str">
        <x:v>EL-049</x:v>
      </x:c>
      <x:c r="B50" s="3" t="str">
        <x:v>2026-06-23</x:v>
      </x:c>
      <x:c r="C50" s="3" t="str">
        <x:v>Remediation</x:v>
      </x:c>
      <x:c r="D50" s="3" t="str">
        <x:v>Patch load tab accessibility</x:v>
      </x:c>
      <x:c r="E50" s="3" t="str">
        <x:v>Added complete tab/tabPanel ARIA wiring, hidden/aria-hidden panel sync, roving tabindex, and Arrow/Home/End keyboard handling.</x:v>
      </x:c>
      <x:c r="F50" s="3" t="str">
        <x:v>Passed</x:v>
      </x:c>
      <x:c r="G50" s="3" t="str">
        <x:v>D-007 resolved with focused index/app-controls/test changes.</x:v>
      </x:c>
    </x:row>
    <x:row r="51" ht="69" customHeight="1">
      <x:c r="A51" s="3" t="str">
        <x:v>EL-050</x:v>
      </x:c>
      <x:c r="B51" s="3" t="str">
        <x:v>2026-06-23</x:v>
      </x:c>
      <x:c r="C51" s="3" t="str">
        <x:v>Regression</x:v>
      </x:c>
      <x:c r="D51" s="3" t="str">
        <x:v>node --test tests/ui/html-contract.test.js and tests/ui/load-config-tabs.test.js</x:v>
      </x:c>
      <x:c r="E51" s="3" t="str">
        <x:v>Ran static and runtime UI tab tests in isolation.</x:v>
      </x:c>
      <x:c r="F51" s="3" t="str">
        <x:v>Passed</x:v>
      </x:c>
      <x:c r="G51" s="3" t="str">
        <x:v>5 static contract tests and 3 runtime tab behavior tests passed; 0 failed.</x:v>
      </x:c>
    </x:row>
    <x:row r="52" ht="69" customHeight="1">
      <x:c r="A52" s="3" t="str">
        <x:v>EL-051</x:v>
      </x:c>
      <x:c r="B52" s="3" t="str">
        <x:v>2026-06-23</x:v>
      </x:c>
      <x:c r="C52" s="3" t="str">
        <x:v>Regression</x:v>
      </x:c>
      <x:c r="D52" s="3" t="str">
        <x:v>npm test</x:v>
      </x:c>
      <x:c r="E52" s="3" t="str">
        <x:v>Re-ran full package test suite sequentially after load tab accessibility remediation.</x:v>
      </x:c>
      <x:c r="F52" s="3" t="str">
        <x:v>Passed</x:v>
      </x:c>
      <x:c r="G52" s="3" t="str">
        <x:v>105 tests passed; 0 failed.</x:v>
      </x:c>
    </x:row>
    <x:row r="53" ht="69" customHeight="1">
      <x:c r="A53" s="3" t="str">
        <x:v>EL-052</x:v>
      </x:c>
      <x:c r="B53" s="3" t="str">
        <x:v>2026-06-23</x:v>
      </x:c>
      <x:c r="C53" s="3" t="str">
        <x:v>Regression</x:v>
      </x:c>
      <x:c r="D53" s="3" t="str">
        <x:v>npm run build</x:v>
      </x:c>
      <x:c r="E53" s="3" t="str">
        <x:v>Rebuilt production dist after load tab accessibility changes.</x:v>
      </x:c>
      <x:c r="F53" s="3" t="str">
        <x:v>Passed</x:v>
      </x:c>
      <x:c r="G53" s="3" t="str">
        <x:v>Build completed with asset version 554fd2e.</x:v>
      </x:c>
    </x:row>
    <x:row r="54" ht="69" customHeight="1">
      <x:c r="A54" s="3" t="str">
        <x:v>EL-053</x:v>
      </x:c>
      <x:c r="B54" s="3" t="str">
        <x:v>2026-06-23</x:v>
      </x:c>
      <x:c r="C54" s="3" t="str">
        <x:v>Recursive loop 10</x:v>
      </x:c>
      <x:c r="D54" s="3" t="str">
        <x:v>Audit collapsible section accessibility</x:v>
      </x:c>
      <x:c r="E54" s="3" t="str">
        <x:v>Reviewed config/results section headers, CSS collapse behavior, and bindSectionToggles implementation.</x:v>
      </x:c>
      <x:c r="F54" s="3" t="str">
        <x:v>Failed then documented</x:v>
      </x:c>
      <x:c r="G54" s="3" t="str">
        <x:v>D-008 opened for click-only section headers without keyboard or assistive-technology state.</x:v>
      </x:c>
    </x:row>
    <x:row r="55" ht="69" customHeight="1">
      <x:c r="A55" s="3" t="str">
        <x:v>EL-054</x:v>
      </x:c>
      <x:c r="B55" s="3" t="str">
        <x:v>2026-06-23</x:v>
      </x:c>
      <x:c r="C55" s="3" t="str">
        <x:v>Remediation</x:v>
      </x:c>
      <x:c r="D55" s="3" t="str">
        <x:v>Patch section toggle accessibility</x:v>
      </x:c>
      <x:c r="E55" s="3" t="str">
        <x:v>Added runtime section body IDs, button semantics, aria-controls, aria-expanded, hidden/aria-hidden sync, Enter/Space handling, and focus-visible styling.</x:v>
      </x:c>
      <x:c r="F55" s="3" t="str">
        <x:v>Passed</x:v>
      </x:c>
      <x:c r="G55" s="3" t="str">
        <x:v>D-008 resolved with focused app/style/test changes.</x:v>
      </x:c>
    </x:row>
    <x:row r="56" ht="69" customHeight="1">
      <x:c r="A56" s="3" t="str">
        <x:v>EL-055</x:v>
      </x:c>
      <x:c r="B56" s="3" t="str">
        <x:v>2026-06-23</x:v>
      </x:c>
      <x:c r="C56" s="3" t="str">
        <x:v>Regression</x:v>
      </x:c>
      <x:c r="D56" s="3" t="str">
        <x:v>node --test tests/ui/section-toggles.test.js and tests/ui/html-contract.test.js</x:v>
      </x:c>
      <x:c r="E56" s="3" t="str">
        <x:v>Ran section toggle and adjacent static UI tests in isolation.</x:v>
      </x:c>
      <x:c r="F56" s="3" t="str">
        <x:v>Passed</x:v>
      </x:c>
      <x:c r="G56" s="3" t="str">
        <x:v>3 section toggle tests and 5 static contract tests passed; 0 failed.</x:v>
      </x:c>
    </x:row>
    <x:row r="57" ht="69" customHeight="1">
      <x:c r="A57" s="3" t="str">
        <x:v>EL-056</x:v>
      </x:c>
      <x:c r="B57" s="3" t="str">
        <x:v>2026-06-23</x:v>
      </x:c>
      <x:c r="C57" s="3" t="str">
        <x:v>Regression</x:v>
      </x:c>
      <x:c r="D57" s="3" t="str">
        <x:v>npm test</x:v>
      </x:c>
      <x:c r="E57" s="3" t="str">
        <x:v>Re-ran full package test suite sequentially after section toggle accessibility remediation.</x:v>
      </x:c>
      <x:c r="F57" s="3" t="str">
        <x:v>Passed</x:v>
      </x:c>
      <x:c r="G57" s="3" t="str">
        <x:v>108 tests passed; 0 failed.</x:v>
      </x:c>
    </x:row>
    <x:row r="58" ht="69" customHeight="1">
      <x:c r="A58" s="3" t="str">
        <x:v>EL-057</x:v>
      </x:c>
      <x:c r="B58" s="3" t="str">
        <x:v>2026-06-23</x:v>
      </x:c>
      <x:c r="C58" s="3" t="str">
        <x:v>Regression</x:v>
      </x:c>
      <x:c r="D58" s="3" t="str">
        <x:v>npm run build</x:v>
      </x:c>
      <x:c r="E58" s="3" t="str">
        <x:v>Rebuilt production dist after section toggle accessibility changes.</x:v>
      </x:c>
      <x:c r="F58" s="3" t="str">
        <x:v>Passed</x:v>
      </x:c>
      <x:c r="G58" s="3" t="str">
        <x:v>Build completed with asset version 554fd2e.</x:v>
      </x:c>
    </x:row>
    <x:row r="59" ht="69" customHeight="1">
      <x:c r="A59" s="3" t="str">
        <x:v>EL-058</x:v>
      </x:c>
      <x:c r="B59" s="3" t="str">
        <x:v>2026-06-23</x:v>
      </x:c>
      <x:c r="C59" s="3" t="str">
        <x:v>Recursive loop 11</x:v>
      </x:c>
      <x:c r="D59" s="3" t="str">
        <x:v>Audit Analysis Cycle mode accessibility</x:v>
      </x:c>
      <x:c r="E59" s="3" t="str">
        <x:v>Reviewed day-mode buttons, Specific Day detail visibility, and syncPlanetaryUI behavior across Earth and non-Earth bodies.</x:v>
      </x:c>
      <x:c r="F59" s="3" t="str">
        <x:v>Failed then documented</x:v>
      </x:c>
      <x:c r="G59" s="3" t="str">
        <x:v>D-009 opened for mode buttons and details exposing only visual selected/hidden state.</x:v>
      </x:c>
    </x:row>
    <x:row r="60" ht="69" customHeight="1">
      <x:c r="A60" s="3" t="str">
        <x:v>EL-059</x:v>
      </x:c>
      <x:c r="B60" s="3" t="str">
        <x:v>2026-06-23</x:v>
      </x:c>
      <x:c r="C60" s="3" t="str">
        <x:v>Remediation</x:v>
      </x:c>
      <x:c r="D60" s="3" t="str">
        <x:v>Patch Analysis Cycle toggle semantics</x:v>
      </x:c>
      <x:c r="E60" s="3" t="str">
        <x:v>Added day-mode role/labels, aria-pressed, aria-disabled, aria-controls, and hidden/aria-hidden synchronization for Specific Day controls.</x:v>
      </x:c>
      <x:c r="F60" s="3" t="str">
        <x:v>Passed</x:v>
      </x:c>
      <x:c r="G60" s="3" t="str">
        <x:v>D-009 resolved with focused index/app-ui-state/test changes.</x:v>
      </x:c>
    </x:row>
    <x:row r="61" ht="69" customHeight="1">
      <x:c r="A61" s="3" t="str">
        <x:v>EL-060</x:v>
      </x:c>
      <x:c r="B61" s="3" t="str">
        <x:v>2026-06-23</x:v>
      </x:c>
      <x:c r="C61" s="3" t="str">
        <x:v>Regression</x:v>
      </x:c>
      <x:c r="D61" s="3" t="str">
        <x:v>node --test tests/ui/day-mode.test.js and tests/ui/html-contract.test.js</x:v>
      </x:c>
      <x:c r="E61" s="3" t="str">
        <x:v>Ran Analysis Cycle runtime and static UI tests in isolation.</x:v>
      </x:c>
      <x:c r="F61" s="3" t="str">
        <x:v>Passed</x:v>
      </x:c>
      <x:c r="G61" s="3" t="str">
        <x:v>2 day-mode tests and 6 static contract tests passed; 0 failed.</x:v>
      </x:c>
    </x:row>
    <x:row r="62" ht="69" customHeight="1">
      <x:c r="A62" s="3" t="str">
        <x:v>EL-061</x:v>
      </x:c>
      <x:c r="B62" s="3" t="str">
        <x:v>2026-06-23</x:v>
      </x:c>
      <x:c r="C62" s="3" t="str">
        <x:v>Regression</x:v>
      </x:c>
      <x:c r="D62" s="3" t="str">
        <x:v>npm test</x:v>
      </x:c>
      <x:c r="E62" s="3" t="str">
        <x:v>Re-ran full package test suite sequentially after Analysis Cycle accessibility remediation.</x:v>
      </x:c>
      <x:c r="F62" s="3" t="str">
        <x:v>Passed</x:v>
      </x:c>
      <x:c r="G62" s="3" t="str">
        <x:v>111 tests passed; 0 failed.</x:v>
      </x:c>
    </x:row>
    <x:row r="63" ht="69" customHeight="1">
      <x:c r="A63" s="3" t="str">
        <x:v>EL-062</x:v>
      </x:c>
      <x:c r="B63" s="3" t="str">
        <x:v>2026-06-23</x:v>
      </x:c>
      <x:c r="C63" s="3" t="str">
        <x:v>Regression</x:v>
      </x:c>
      <x:c r="D63" s="3" t="str">
        <x:v>npm run build</x:v>
      </x:c>
      <x:c r="E63" s="3" t="str">
        <x:v>Rebuilt production dist after Analysis Cycle accessibility changes.</x:v>
      </x:c>
      <x:c r="F63" s="3" t="str">
        <x:v>Passed</x:v>
      </x:c>
      <x:c r="G63" s="3" t="str">
        <x:v>Build completed with asset version 554fd2e.</x:v>
      </x:c>
    </x:row>
  </x:sheetData>
  <x:pageMargins left="0.7" right="0.7" top="0.75" bottom="0.75" header="0.3" footer="0.3"/>
  <x:tableParts count="1">
    <x:tablePart xmlns:r="http://schemas.openxmlformats.org/officeDocument/2006/relationships" r:id="R7d3019247ebc41f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7.780000686645508" hidden="0" customWidth="1"/>
    <x:col min="3" max="3" width="80" hidden="0" customWidth="1"/>
  </x:cols>
  <x:sheetData>
    <x:row r="1" ht="25.5" customHeight="1">
      <x:c r="A1" s="5" t="str">
        <x:v>Assumption ID</x:v>
      </x:c>
      <x:c r="B1" s="5" t="str">
        <x:v>Category</x:v>
      </x:c>
      <x:c r="C1" s="5" t="str">
        <x:v>Assumption / Risk Note</x:v>
      </x:c>
    </x:row>
    <x:row r="2" ht="69" customHeight="1">
      <x:c r="A2" s="3" t="str">
        <x:v>A-001</x:v>
      </x:c>
      <x:c r="B2" s="3" t="str">
        <x:v>Scope basis</x:v>
      </x:c>
      <x:c r="C2" s="3" t="str">
        <x:v>Expected behavior is derived only from implementation, tests, and local browser execution. No product-manager intent outside the codebase was assumed.</x:v>
      </x:c>
    </x:row>
    <x:row r="3" ht="69" customHeight="1">
      <x:c r="A3" s="3" t="str">
        <x:v>A-002</x:v>
      </x:c>
      <x:c r="B3" s="3" t="str">
        <x:v>Model validity</x:v>
      </x:c>
      <x:c r="C3" s="3" t="str">
        <x:v>The workbook validates software behavior, not the real-world scientific, tax, legal, or investment validity of assumptions.</x:v>
      </x:c>
    </x:row>
    <x:row r="4" ht="69" customHeight="1">
      <x:c r="A4" s="3" t="str">
        <x:v>A-003</x:v>
      </x:c>
      <x:c r="B4" s="3" t="str">
        <x:v>Browser coverage</x:v>
      </x:c>
      <x:c r="C4" s="3" t="str">
        <x:v>Browser execution covered representative end-to-end journeys and responsive behavior. It did not exhaust every slider value or every exploratory route combination manually.</x:v>
      </x:c>
    </x:row>
    <x:row r="5" ht="69" customHeight="1">
      <x:c r="A5" s="3" t="str">
        <x:v>A-004</x:v>
      </x:c>
      <x:c r="B5" s="3" t="str">
        <x:v>External dependencies</x:v>
      </x:c>
      <x:c r="C5" s="3" t="str">
        <x:v>Chart.js, Leaflet, and Esri tiles were available during browser checks. Chart.js absence, Leaflet absence, Esri tile failures, and optimizer Worker failures now have fallback coverage, but full offline chart/map functionality still requires bundling or local alternatives.</x:v>
      </x:c>
    </x:row>
    <x:row r="6" ht="69" customHeight="1">
      <x:c r="A6" s="3" t="str">
        <x:v>A-005</x:v>
      </x:c>
      <x:c r="B6" s="3" t="str">
        <x:v>Local storage</x:v>
      </x:c>
      <x:c r="C6" s="3" t="str">
        <x:v>Saved site behavior is browser-local. The read-only browser evaluation scope could not inspect localStorage directly, so visible UI state and existing unit tests were used for validation.</x:v>
      </x:c>
    </x:row>
    <x:row r="7" ht="69" customHeight="1">
      <x:c r="A7" s="3" t="str">
        <x:v>A-006</x:v>
      </x:c>
      <x:c r="B7" s="3" t="str">
        <x:v>Generated artifacts</x:v>
      </x:c>
      <x:c r="C7" s="3" t="str">
        <x:v>The canonical workbook is under outputs/019ef1fe-2079-7a42-a2b9-f6a978ebc6cc and is excluded from production dist by the build patch.</x:v>
      </x:c>
    </x:row>
  </x:sheetData>
  <x:pageMargins left="0.7" right="0.7" top="0.75" bottom="0.75" header="0.3" footer="0.3"/>
  <x:tableParts count="1">
    <x:tablePart xmlns:r="http://schemas.openxmlformats.org/officeDocument/2006/relationships" r:id="Rcc40d9dd0ac7484a"/>
  </x:tableParts>
</x:worksheet>
</file>